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S Scores" sheetId="1" r:id="rId4"/>
    <sheet state="visible" name="Formula Explained" sheetId="2" r:id="rId5"/>
    <sheet state="visible" name="Session Notes" sheetId="3" r:id="rId6"/>
    <sheet state="visible" name="Debrief Notes" sheetId="4" r:id="rId7"/>
  </sheets>
  <definedNames/>
  <calcPr/>
  <extLst>
    <ext uri="GoogleSheetsCustomDataVersion2">
      <go:sheetsCustomData xmlns:go="http://customooxmlschemas.google.com/" r:id="rId8" roundtripDataChecksum="W/vIQQUcKlngw3V5aRdP9cJ+bli8oxFr2avGzz9cUXA="/>
    </ext>
  </extLst>
</workbook>
</file>

<file path=xl/sharedStrings.xml><?xml version="1.0" encoding="utf-8"?>
<sst xmlns="http://schemas.openxmlformats.org/spreadsheetml/2006/main" count="220" uniqueCount="173">
  <si>
    <t>Faisa Sheikahmed</t>
  </si>
  <si>
    <t>Amanda - SUS Usability Testing Tracker</t>
  </si>
  <si>
    <t>Enter each participant's answers (1–5). Scores calculate automatically.</t>
  </si>
  <si>
    <t>Participant</t>
  </si>
  <si>
    <t>Age</t>
  </si>
  <si>
    <t>Gender</t>
  </si>
  <si>
    <t>Q1
Use frequently</t>
  </si>
  <si>
    <t>Q2
Unnecessarily complex</t>
  </si>
  <si>
    <t>Q3
Easy to use</t>
  </si>
  <si>
    <t>Q4
Need support</t>
  </si>
  <si>
    <t>Q5
Functions integrated</t>
  </si>
  <si>
    <t>Q6
Too inconsistent</t>
  </si>
  <si>
    <t>Q7
Others learn quickly</t>
  </si>
  <si>
    <t>Q8
Tiring to use</t>
  </si>
  <si>
    <t>Q9
Felt confident</t>
  </si>
  <si>
    <t>Q10
Needed to learn first</t>
  </si>
  <si>
    <t>SUS Score</t>
  </si>
  <si>
    <t>Grade</t>
  </si>
  <si>
    <t>← Participant info</t>
  </si>
  <si>
    <t>score − 1</t>
  </si>
  <si>
    <t>5 − score</t>
  </si>
  <si>
    <t>Participant 1</t>
  </si>
  <si>
    <t>F</t>
  </si>
  <si>
    <t>Participant 2</t>
  </si>
  <si>
    <t>Participant 3</t>
  </si>
  <si>
    <t>M</t>
  </si>
  <si>
    <t>Participant 4</t>
  </si>
  <si>
    <t>Participant 5</t>
  </si>
  <si>
    <t>Participant 6</t>
  </si>
  <si>
    <t>Participant 7</t>
  </si>
  <si>
    <t>AVERAGE SUS SCORE</t>
  </si>
  <si>
    <t>Colours:</t>
  </si>
  <si>
    <t>Odd questions: score - 1</t>
  </si>
  <si>
    <t>Even questions: 5 - score</t>
  </si>
  <si>
    <t>Excellent (80+)</t>
  </si>
  <si>
    <t>Above average (68–79)</t>
  </si>
  <si>
    <t>Needs work (&lt;68)</t>
  </si>
  <si>
    <t>How the SUS Score is Calculated</t>
  </si>
  <si>
    <t>The System Usability Scale (SUS) - Brooke, 1996. 10 questions, 1–5 scale. Final score is 0–100.</t>
  </si>
  <si>
    <t>Question</t>
  </si>
  <si>
    <t>How to adjust</t>
  </si>
  <si>
    <t>Why</t>
  </si>
  <si>
    <t>Q1 - I would use this frequently</t>
  </si>
  <si>
    <t>Answer − 1</t>
  </si>
  <si>
    <t>Positive question -&gt; higher = better</t>
  </si>
  <si>
    <t>Q2 - Unnecessarily complex</t>
  </si>
  <si>
    <t>5 − Answer</t>
  </si>
  <si>
    <t>Negative question -&gt; higher = worse, so flip it</t>
  </si>
  <si>
    <t>Q3 - Easy to use</t>
  </si>
  <si>
    <t>Positive question</t>
  </si>
  <si>
    <t>Q4 - I'd need support to use it</t>
  </si>
  <si>
    <t xml:space="preserve">Negative question </t>
  </si>
  <si>
    <t>Q5 - Functions well integrated</t>
  </si>
  <si>
    <t>Q6 - Too much inconsistency</t>
  </si>
  <si>
    <t>Q7 - Most people learn it quickly</t>
  </si>
  <si>
    <t>Q8 - Tiring to use</t>
  </si>
  <si>
    <t>Q9 - I felt confident using it</t>
  </si>
  <si>
    <t>Q10 - I needed to learn a lot first</t>
  </si>
  <si>
    <t>Score benchmarks</t>
  </si>
  <si>
    <t>80 – 100</t>
  </si>
  <si>
    <t>Excellent</t>
  </si>
  <si>
    <t>68 – 79</t>
  </si>
  <si>
    <t>Above average</t>
  </si>
  <si>
    <t>51 – 67</t>
  </si>
  <si>
    <t>Below average</t>
  </si>
  <si>
    <t>0 – 50</t>
  </si>
  <si>
    <t>Poor — needs work</t>
  </si>
  <si>
    <t>Session Observation Notes</t>
  </si>
  <si>
    <t>T1 - Onboarding</t>
  </si>
  <si>
    <t>T2 - Voice chat</t>
  </si>
  <si>
    <t>T3 - Profile</t>
  </si>
  <si>
    <t>T4 - Switch mode</t>
  </si>
  <si>
    <t>T5 - History</t>
  </si>
  <si>
    <t>SUS Score
(auto from sheet 1)</t>
  </si>
  <si>
    <t>Pass / Fail
Hesitations
Quotes</t>
  </si>
  <si>
    <t>Fail: Struggled to scroll the disclaimer as no scroll indicator was visible. Prompted to suggest a password view toggle: "to make a button to view the password that was typed." After signing up, a login modal appeared unexpectedly: "I already signed in, so I shouldn't be prompted to sign in again." Tapped Maybe Later expecting to reach the chat. Confused by the voice animation dominating the screen: "The voice indicator takes up a lot of space on the screen, making me think that I can only talk to it, not type."</t>
  </si>
  <si>
    <t>Pass: Located the voice button without hesitation. Frustrated by Amanda's 20-second response time with no visual feedback: "Nothing shows up on the screen to show that it heard what I said, making me think something might have gone wrong." Second attempt was faster. "Pretty easy to navigate from text to voice, the voice button was recognisable."</t>
  </si>
  <si>
    <t>Pass: Found the hamburger menu and profile panel without difficulty. Noted the email displaying instead of name: "The email should be updated to my name, seems more personable." Edited name successfully: "Easy to do." Queried the wording of the personalisation section: "Because it's under my account, I would think it's personalising my account, not the AI. Maybe the wording could be changed." Attempted to swipe the page indicator rather than tapping Continue. Positive about the mood and goal sections: "I like that there are different things to talk about with Amanda. I like that you don't have to have an issue to talk to her. I like the goal section, it gives a positive tone to my situation."</t>
  </si>
  <si>
    <t>Pass: Switched back to typing without difficulty: "That was easy to do as well. The type button was clearly labelled and I could carry on my conversation."</t>
  </si>
  <si>
    <t>Pass: Used the hamburger icon to navigate to chat history. Found and searched previous chats easily: "I like that I can use just one word and the chat would come up."</t>
  </si>
  <si>
    <t>Fail: Account creation navigation was easy. Found password requirements frustrating: "Always find it annoying when there are a lot of rules for a password. Less requirements would be better." Frustrated by the email verification token process: "Very annoying that I need to go to the terminal to find the token. That makes the process so long, and I don't think people with a short attention span would continue." Positive about personalisation questions and visual design: "Really like the colour scheme and minimalism." Login modal appeared after sign-up: "This is annoying as I've already signed up, it was already a long process. Where did my sign up go?" Clicked Maybe Later, returned to home, then hit the disclaimer again: "Should be enough to get the disclaimer once, not every time." Noted the first chat page felt cluttered and voice chat instructions were unclear.</t>
  </si>
  <si>
    <t>Pass: Initially confused about typing being disabled in voice mode. After 3 seconds located the type button: "Oh there is a type button at the top. Good place to find it, to be honest."</t>
  </si>
  <si>
    <t>Pass: Attempted to swipe open the navbar, nothing happened: "Usually the navbar should show up when swiped." Used hamburger menu instead. Found theme toggle and suggested clearer icons: "Better with moon and sun instead." Navigated directly to edit profile and changed name and personalisation. Questioned the purpose of personalisation: "Didn't understand the point of personalisation - does it make a difference if I click relationships but talk about grief in the chat?"</t>
  </si>
  <si>
    <t>User spoke with amanda and changed to typing. User said "It worked. its fine"</t>
  </si>
  <si>
    <t>Navigated to hamburger and found previous conversation. Started scrolling through previous convos. "Quite easy to find previous convos"</t>
  </si>
  <si>
    <t xml:space="preserve"> FAIL: Struggled with disclaimer scroll, no indicator visible: "Kind of stupid, because there is no indicator that you have to scroll." Account creation itself was easy. Wanted to select multiple tones for Amanda: "I feel like you should pick more than one tone for Amanda. I could want several tones at one time." Login modal appeared after sign-up: "Quite annoying, I just created an account. I'm confused." Clicked Maybe Later and entered a loop, being redirected back each time: "I'd rather click maybe later because creating an account is long, but maybe later just takes me on a loop." Eventually reached the chat: "Very nice and warming." Noted the voice/text toggle needed a clearer indicator: "Maybe add an indicator for what it does, was a bit confusing."</t>
  </si>
  <si>
    <t>PASS: Navigated to voice chat without difficulty. Slightly unsure how to begin speaking. Suggested a visual listening indicator: "Usually when you press the logo it should show an indicator showing it's listening - something more animated like a sound animation showing the user it's listening."</t>
  </si>
  <si>
    <t>PASS: Found hamburger menu, edit profile, and personalisation section with no issues: "Very easy." Suggested allowing custom goal input: "We should be able to put our own custom goal. Personally this limits the user because if they don't have their goals listed it feels like it doesn't accommodate them."</t>
  </si>
  <si>
    <t>PASS: Switched between voice and chat without difficulty: "Easy, all I had to do was press the button at the top right."</t>
  </si>
  <si>
    <t>PASS: Used hamburger menu and found history easily.</t>
  </si>
  <si>
    <t>FAIL: Initially confused by the disclaimer not responding: "I'm having issues, it's not responding. It's frustrating." Once resolved said: "It was kind of good though, it made me read it." Found the verification token too long: "It's way too long, should be a shorter code." Positive about personalisation: "It's very clear and straight to the point. I like the selection of options, but maybe some more can be added." Login modal appeared after sign-up: "It didn't even register that I logged in and now I have to do it again, quite frustrating." Reached the chat and preferred typing as default: "I think typing should be default. It's too long that I have to speak right away." Noted the chat text was small and dark: "Small dark text, harder to navigate. Definitely making it brighter, change the font and writing."</t>
  </si>
  <si>
    <t>PASS: Navigated to voice chat successfully. Could tell Amanda was processing. Noted response time was slow: "Slow paced, it took some time before I could speak."</t>
  </si>
  <si>
    <t xml:space="preserve"> PASS: Used hamburger menu and found profile easily: "That was easy, good user interface."</t>
  </si>
  <si>
    <t>PASS: Switched without difficulty: "That was pretty straightforward." Suggested the process for cancelling voice and switching to typing could be more accessible.</t>
  </si>
  <si>
    <t>PASS:Used hamburger menu and found history: "Pretty straightforward."</t>
  </si>
  <si>
    <t>FAIL: Struggled with the disclaimer: "I can't get past the disclaimer." Account creation felt easy: "Creating an account is easy and straightforward." Found the token too long: "Looks quite long, perhaps maybe 16 characters max." Login modal appeared after sign-up: "I thought I created an account but it's telling me to login again. I'll log in and see if my credentials worked." Reached the chat and found it user friendly overall. Confused by the voice animation: "I didn't understand at first that this is for voice chat." Asked whether typing was possible. Preferred typing as default: "If I wasn't comfortable speaking I would rather have typing as the first option."</t>
  </si>
  <si>
    <t>PASS: Found voice chat positively: "The voice chat is cool." Felt the text buffering was overwhelming: "It buffers, then prints the whole message at once, which can feel overwhelming." Found the type button but noted its position: "It would be easier if it was at the bottom as it was quite hard to see at first."</t>
  </si>
  <si>
    <t>PASS: Used hamburger navbar and found account section at the bottom. Edited name and personalisation without issues: "Was very easy, straightforward, no issues."</t>
  </si>
  <si>
    <t xml:space="preserve"> FAIL: Switched to typing but felt the conversation context was lost: "When I went from voice chat to chat it felt like it forgot what I asked. Made me feel not sure what to think — the therapist is dismissing my request."</t>
  </si>
  <si>
    <t>PASS: Found previous chats via hamburger navbar. Noted that voice chat sessions did not appear in chat history: "I realised that my voice chat was no longer a part of my previous chat."</t>
  </si>
  <si>
    <t>PASS WITH DIFFICULTY: Account creation felt simple: "Looks pretty simple." Login modal appeared after sign-up: "Why did it ask me to log in again? I'm stressing out, what's this." Logged in successfully. Reached the chat and was initially confused by the conversation starters: "I didn't know the suggested conversation starters were options to start chatting to Amanda." Once understood, found messaging familiar: "Creating an account was fairly easy. Sending a message is something I'm familiar with from ChatGPT so it was easy."</t>
  </si>
  <si>
    <t>PASS: Clicked the voice button and started speaking. Triggered the crisis disclaimer. Found it helpful but noted Amanda spoke too continuously: "The AI talks too much. The voice chat talks so continuously without pausing that I lose interest."</t>
  </si>
  <si>
    <t>PASS: Used the chat navbar and profile panel button. Changed name and preferences without issues: "Very nice."</t>
  </si>
  <si>
    <t>PASS: Located the typing button and continued the conversation: "Very easy, but I would prefer the typing option being next to the voice chat rather than in the top right. The button in the top right was too small."</t>
  </si>
  <si>
    <t>PASS: Found previous conversations via the chat navbar: "Really easy, just two clicks."</t>
  </si>
  <si>
    <t>FAIL: Positive about the disclaimer design: "I like that it states that it is not misleading and clearly states that this is not a substitute." Appreciated being forced to read it: "Oh I like this, you force me to read it without just clicking past it." Clicked Maybe Later and entered a redirect loop, eventually understood account creation was required: "Oh I'm being forced to make an account." Positive about the personalisation questions: "Really nice that it wants to get to know me. I would get the same questions if I was in actual therapy." Login modal appeared: "Makes me log in again. I already created an account, so what's going on? I shouldn't be asked to log in again. If my attention span was short I would have just left." Reached the chat and appreciated the colour scheme: "Very girly colours, I love it because I'm a girl myself." Confused about where to type: "I don't like to speak to the AI, I like to type, so this was a bit confusing. I eventually found the typing button but it should be at the bottom like where the keyboard usually is."</t>
  </si>
  <si>
    <t>PASS WITH DIFFICULTY: Initially tapped the transcription button instead of the voice chat button. Identified both buttons and selected the correct one. Suggested an in-app tutorial for first-time users. Positive about Amanda's responses but noted the voice felt robotic: "I like her responses, but her voice sounded very AI. It was like speaking to a robot. I like the fact that the AI gave me a solution."</t>
  </si>
  <si>
    <t>PASS: Navigated to profile panel and edited name and personalisation without difficulty. Suggested renaming the personalisation section: "The personalisation should maybe be changed to preferences."</t>
  </si>
  <si>
    <t>PASS: Continued the conversation and Amanda retained context successfully. Entered a concerning message and noted a gap in the crisis response: "The AI is comforting but it doesn't redirect me to a website or a number, which is a bit confusing. A real therapy session would have alerted the police or redirected me straight to help."</t>
  </si>
  <si>
    <t>PASS: Found the chat sidebar quickly: "Very clear and easy to find. I like the fact that it doesn't delete my conversations."</t>
  </si>
  <si>
    <t>Amanda - Post-Session Debrief Notes</t>
  </si>
  <si>
    <t>Ask these 4 questions verbally after the SUS questionnaire. Write answers word for word where possible.</t>
  </si>
  <si>
    <t>Questions to ask</t>
  </si>
  <si>
    <t>Q1</t>
  </si>
  <si>
    <t>Q2</t>
  </si>
  <si>
    <t>Q3</t>
  </si>
  <si>
    <t>Q4</t>
  </si>
  <si>
    <t>What confused or
frustrated you?</t>
  </si>
  <si>
    <t>What did you
really like?</t>
  </si>
  <si>
    <t>If you could change
one thing?</t>
  </si>
  <si>
    <t>Did Amanda feel natural
or awkward?</t>
  </si>
  <si>
    <t>Q1 — Confused / frustrated?</t>
  </si>
  <si>
    <t>Q2 — What they liked?</t>
  </si>
  <si>
    <t>Q3 — One thing to change?</t>
  </si>
  <si>
    <t>Q4 — Natural or awkward?</t>
  </si>
  <si>
    <t>Key insight
for report</t>
  </si>
  <si>
    <t>Dislcaimer was confusing to scroll. Another confusion would be getting that login prompt right after creating an account. Trying to find the type button when I FIRST saw the chat page.</t>
  </si>
  <si>
    <t>The personalisation aspect and the My Journey feature. "That could be used if they then go to a medical professional. They have the logs there."</t>
  </si>
  <si>
    <t>Remove the Maybe Later button from the login modal as it is misleading. Show the disclaimer once only, not on every visit. Default to text first rather than voice</t>
  </si>
  <si>
    <t>Felt natural. "She sounds understanding whenever I say something and provides a question to carry on the conversation."</t>
  </si>
  <si>
    <t>Disclaimer and post sign-up login loop are the two biggest friction points. Typing should be the default entry point.</t>
  </si>
  <si>
    <t>Sign-up process felt very long. Email verification was too complex for non-technical users. Personalisation felt vague and disconnected from the actual conversation with Amanda.</t>
  </si>
  <si>
    <t xml:space="preserve">Colour scheme and fonts. "Not too many buttons which is good."
</t>
  </si>
  <si>
    <t>Simplify or remove the verification process. Reconsider the Amanda avatar. Move personalisation out of the onboarding flow.</t>
  </si>
  <si>
    <t xml:space="preserve">Slightly awkward. "In the end it feels like a robot talking to you."
</t>
  </si>
  <si>
    <t>Verification process is a major drop-off risk for non-technical users. Personalisation needs to feel more purposeful and connect visibly to Amanda's responses.</t>
  </si>
  <si>
    <t>The Maybe Later loop was very confusing. Voice chat has no listening indicator. Voice message history is not saved. "What if I want to go back and see my advice."</t>
  </si>
  <si>
    <t>Colour scheme. Ability to switch between typing and voice. Easy navigation overall. "Everything is organised, you find it easily in the profile panel."</t>
  </si>
  <si>
    <t>Add a visual listening indicator to voice chat. Save voice chat history. Fix the Maybe Later loop.</t>
  </si>
  <si>
    <t>Felt natural. "To the point where it's still AI but it's a new type of AI we are not used to. It does speak and form sentences like a human."</t>
  </si>
  <si>
    <t>Missing voice chat history is a trust issue, not just a usability issue. Users feel unheard if their session disappears.</t>
  </si>
  <si>
    <t>Landing in voice chat by default was distressing. "I feel like it might distress someone that is already mentally disturbed." Being logged out after sign-up was very frustrating.</t>
  </si>
  <si>
    <t>Amanda's tone and emotional understanding. Clean UI. Colour scheme felt inviting. Personalisation built a sense of connection before the conversation.</t>
  </si>
  <si>
    <t>Add an interest or hobby field so Amanda can suggest more personalised solutions.</t>
  </si>
  <si>
    <t>Felt natural. "Very understanding and emotionally understanding. She speaks like a human."</t>
  </si>
  <si>
    <t>Defaulting to voice chat is not just a usability problem - for vulnerable users it could be distressing. Typing must be the default.</t>
  </si>
  <si>
    <t>Could not find the typing option easily. Stressed to discover voice chat history was not saved. Chat bubble colours for user and Amanda were too similar making it hard to distinguish who said what.</t>
  </si>
  <si>
    <t>Account creation was smooth. Dashboard was easy to navigate. Onboarding felt quick.</t>
  </si>
  <si>
    <t>Make the type button more prominent or always visible. Add a voice icon indicator next to the voice feature. Differentiate chat bubble colours between user and Amanda.</t>
  </si>
  <si>
    <t>Mostly fine but formatting felt slightly robotic. "I wish it was more humane."</t>
  </si>
  <si>
    <t>Chat bubble colour distinction is a clear accessibility issue affecting readability for all users</t>
  </si>
  <si>
    <t>Crisis detection banner would not dismiss. "If I've already gotten a solution to my problem it would be like a reminder giving me PTSD." Login redirect after sign-up was confusing.</t>
  </si>
  <si>
    <t xml:space="preserve">Amanda's voice. Colour scheme. "Pleasing to the eye, nice contrast."
</t>
  </si>
  <si>
    <t>Amanda's responses should be shorter and more meaningful. "Quality over quantity."</t>
  </si>
  <si>
    <t>Awkward at first but became more natural over time. "The more you use something the more you get used to it."</t>
  </si>
  <si>
    <t>The crisis banner needs a dismiss option. Persistent banners feel intrusive rather than supportive, especially once the user has moved on.</t>
  </si>
  <si>
    <t>Should have been logged in automatically after registration. Took a while to find the typing option. Crisis response did not redirect to actual help resources.</t>
  </si>
  <si>
    <t>The concept and the gap it fills. "It bridges an important gap." User-friendly navigation bar.</t>
  </si>
  <si>
    <t>Fix the login flow. Move the typing button to the bottom where the keyboard normally appears. Rename personalisation to preferences. Add crisis redirect links to real help resources.</t>
  </si>
  <si>
    <t>In the middle. Comforting but not always directly answering questions. "The reason I use AI therapy is to get quick answers. She's nice and comforting but the voice chat sounded AI."</t>
  </si>
  <si>
    <t>Crisis response is flagged as a safety gap, not just a usability issue. Users in distress expect to be redirected to real resources immediately.</t>
  </si>
  <si>
    <t>PATTERNS &amp; THEMES - After all sessions, summarise the most common answers below</t>
  </si>
  <si>
    <t>Most common frustration</t>
  </si>
  <si>
    <t>Most liked feature</t>
  </si>
  <si>
    <t>Most requested change</t>
  </si>
  <si>
    <t>Overall feel (natural / awkward)</t>
  </si>
  <si>
    <t>Report recommendation</t>
  </si>
  <si>
    <t>Summary</t>
  </si>
  <si>
    <t>Every single participant was frustrated by the login modal appearing after sign-up. Six out of seven also struggled with the disclaimer scroll and the Maybe Later redirect loop. These two issues affected 100% of testers and are the highest priority fixes.</t>
  </si>
  <si>
    <t>The colour scheme and overall visual design were praised by nearly every participant. Amanda's tone, emotional understanding, and the personalisation flow were also consistently positive highlights.</t>
  </si>
  <si>
    <t>Default to typing instead of voice on first load. Fix the post sign-up login flow so users are not asked to log in again after registering. Make the typing button larger and move it closer to the bottom of the screen.</t>
  </si>
  <si>
    <t>Most participants felt Amanda was natural or became natural over time. The main concern was response quality. Answers sometimes felt long, repetitive, or robotic rather than concise and human. Voice chat specifically felt more AI-like than text.</t>
  </si>
  <si>
    <t>Three changes should be implemented before the next round of testing. First, remove or redesign the post sign-up login modal so users land directly in the app after registering. Second, default the chat interface to typing rather than voice. Third, make voice chat history persistent so sessions are saved alongside text conversations. These three fixes directly address the most frequent and most severe issues raised across all seven participants.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</si>
</sst>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35">
    <font>
      <sz val="11.0"/>
      <color theme="1"/>
      <name val="Calibri"/>
      <scheme val="minor"/>
    </font>
    <font>
      <b/>
      <sz val="14.0"/>
      <color theme="1"/>
      <name val="Calibri"/>
      <scheme val="minor"/>
    </font>
    <font>
      <b/>
      <sz val="14.0"/>
      <color rgb="FFFFFFFF"/>
      <name val="Arial"/>
    </font>
    <font/>
    <font>
      <sz val="10.0"/>
      <color rgb="FF555555"/>
      <name val="Arial"/>
    </font>
    <font>
      <b/>
      <sz val="9.0"/>
      <color rgb="FFFFFFFF"/>
      <name val="Arial"/>
    </font>
    <font>
      <sz val="8.0"/>
      <color rgb="FF888888"/>
      <name val="Arial"/>
    </font>
    <font>
      <sz val="8.0"/>
      <color rgb="FF085041"/>
      <name val="Arial"/>
    </font>
    <font>
      <sz val="8.0"/>
      <color rgb="FF633806"/>
      <name val="Arial"/>
    </font>
    <font>
      <b/>
      <sz val="10.0"/>
      <color rgb="FF000000"/>
      <name val="Arial"/>
    </font>
    <font>
      <sz val="11.0"/>
      <color theme="1"/>
      <name val="Calibri"/>
    </font>
    <font>
      <sz val="11.0"/>
      <color rgb="FF000000"/>
      <name val="Arial"/>
    </font>
    <font>
      <b/>
      <sz val="11.0"/>
      <color rgb="FF4B3AAA"/>
      <name val="Arial"/>
    </font>
    <font>
      <b/>
      <sz val="10.0"/>
      <color rgb="FFFFFFFF"/>
      <name val="Arial"/>
    </font>
    <font>
      <b/>
      <sz val="13.0"/>
      <color rgb="FFFFFFFF"/>
      <name val="Arial"/>
    </font>
    <font>
      <b/>
      <sz val="9.0"/>
      <color rgb="FF000000"/>
      <name val="Arial"/>
    </font>
    <font>
      <b/>
      <sz val="9.0"/>
      <color rgb="FF085041"/>
      <name val="Arial"/>
    </font>
    <font>
      <b/>
      <sz val="9.0"/>
      <color rgb="FF633806"/>
      <name val="Arial"/>
    </font>
    <font>
      <b/>
      <sz val="9.0"/>
      <color rgb="FF27500A"/>
      <name val="Arial"/>
    </font>
    <font>
      <b/>
      <sz val="9.0"/>
      <color rgb="FF791F1F"/>
      <name val="Arial"/>
    </font>
    <font>
      <sz val="10.0"/>
      <color rgb="FF333333"/>
      <name val="Arial"/>
    </font>
    <font>
      <b/>
      <sz val="10.0"/>
      <color rgb="FF085041"/>
      <name val="Arial"/>
    </font>
    <font>
      <b/>
      <sz val="10.0"/>
      <color rgb="FF633806"/>
      <name val="Arial"/>
    </font>
    <font>
      <color theme="1"/>
      <name val="Calibri"/>
      <scheme val="minor"/>
    </font>
    <font>
      <b/>
      <sz val="10.0"/>
      <color rgb="FF27500A"/>
      <name val="Arial"/>
    </font>
    <font>
      <b/>
      <sz val="10.0"/>
      <color rgb="FF791F1F"/>
      <name val="Arial"/>
    </font>
    <font>
      <b/>
      <sz val="10.0"/>
      <color rgb="FF712B13"/>
      <name val="Arial"/>
    </font>
    <font>
      <sz val="9.0"/>
      <color rgb="FF712B13"/>
      <name val="Arial"/>
    </font>
    <font>
      <sz val="9.0"/>
      <color rgb="FF27500A"/>
      <name val="Arial"/>
    </font>
    <font>
      <sz val="9.0"/>
      <color rgb="FF633806"/>
      <name val="Arial"/>
    </font>
    <font>
      <sz val="9.0"/>
      <color rgb="FF085041"/>
      <name val="Arial"/>
    </font>
    <font>
      <i/>
      <sz val="9.0"/>
      <color rgb="FF633806"/>
      <name val="Arial"/>
    </font>
    <font>
      <b/>
      <sz val="10.0"/>
      <color rgb="FF4B3AAA"/>
      <name val="Arial"/>
    </font>
    <font>
      <sz val="10.0"/>
      <color rgb="FF000000"/>
      <name val="Arial"/>
    </font>
    <font>
      <b/>
      <sz val="9.0"/>
      <color rgb="FF333333"/>
      <name val="Arial"/>
    </font>
  </fonts>
  <fills count="17">
    <fill>
      <patternFill patternType="none"/>
    </fill>
    <fill>
      <patternFill patternType="lightGray"/>
    </fill>
    <fill>
      <patternFill patternType="solid">
        <fgColor rgb="FFEAD1DC"/>
        <bgColor rgb="FFEAD1DC"/>
      </patternFill>
    </fill>
    <fill>
      <patternFill patternType="solid">
        <fgColor rgb="FF4B3AAA"/>
        <bgColor rgb="FF4B3AAA"/>
      </patternFill>
    </fill>
    <fill>
      <patternFill patternType="solid">
        <fgColor rgb="FFEEEDFE"/>
        <bgColor rgb="FFEEEDFE"/>
      </patternFill>
    </fill>
    <fill>
      <patternFill patternType="solid">
        <fgColor rgb="FFE1F5EE"/>
        <bgColor rgb="FFE1F5EE"/>
      </patternFill>
    </fill>
    <fill>
      <patternFill patternType="solid">
        <fgColor rgb="FFFAEEDA"/>
        <bgColor rgb="FFFAEEDA"/>
      </patternFill>
    </fill>
    <fill>
      <patternFill patternType="solid">
        <fgColor rgb="FFFFFFFF"/>
        <bgColor rgb="FFFFFFFF"/>
      </patternFill>
    </fill>
    <fill>
      <patternFill patternType="solid">
        <fgColor rgb="FFF1EFE8"/>
        <bgColor rgb="FFF1EFE8"/>
      </patternFill>
    </fill>
    <fill>
      <patternFill patternType="solid">
        <fgColor rgb="FFEAF3DE"/>
        <bgColor rgb="FFEAF3DE"/>
      </patternFill>
    </fill>
    <fill>
      <patternFill patternType="solid">
        <fgColor rgb="FFFCEBEB"/>
        <bgColor rgb="FFFCEBEB"/>
      </patternFill>
    </fill>
    <fill>
      <patternFill patternType="solid">
        <fgColor rgb="FFF3F3F3"/>
        <bgColor rgb="FFF3F3F3"/>
      </patternFill>
    </fill>
    <fill>
      <patternFill patternType="solid">
        <fgColor rgb="FFFAECE7"/>
        <bgColor rgb="FFFAECE7"/>
      </patternFill>
    </fill>
    <fill>
      <patternFill patternType="solid">
        <fgColor rgb="FFB6D7A8"/>
        <bgColor rgb="FFB6D7A8"/>
      </patternFill>
    </fill>
    <fill>
      <patternFill patternType="solid">
        <fgColor rgb="FFA4C2F4"/>
        <bgColor rgb="FFA4C2F4"/>
      </patternFill>
    </fill>
    <fill>
      <patternFill patternType="solid">
        <fgColor rgb="FFD5A6BD"/>
        <bgColor rgb="FFD5A6BD"/>
      </patternFill>
    </fill>
    <fill>
      <patternFill patternType="solid">
        <fgColor rgb="FFEA9999"/>
        <bgColor rgb="FFEA9999"/>
      </patternFill>
    </fill>
  </fills>
  <borders count="10">
    <border/>
    <border>
      <left/>
      <top/>
      <bottom/>
    </border>
    <border>
      <top/>
      <bottom/>
    </border>
    <border>
      <right/>
      <top/>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right/>
      <top/>
    </border>
    <border>
      <left/>
      <right/>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2" fontId="1" numFmtId="0" xfId="0" applyAlignment="1" applyFill="1" applyFont="1">
      <alignment horizontal="left" readingOrder="0" vertical="top"/>
    </xf>
    <xf borderId="0" fillId="0" fontId="2" numFmtId="0" xfId="0" applyAlignment="1" applyFont="1">
      <alignment horizontal="center" shrinkToFit="0" vertical="center" wrapText="1"/>
    </xf>
    <xf borderId="0" fillId="2" fontId="1" numFmtId="164" xfId="0" applyAlignment="1" applyFont="1" applyNumberFormat="1">
      <alignment horizontal="left" readingOrder="0" vertical="top"/>
    </xf>
    <xf borderId="0" fillId="0" fontId="1" numFmtId="0" xfId="0" applyAlignment="1" applyFont="1">
      <alignment horizontal="left" readingOrder="0"/>
    </xf>
    <xf borderId="1" fillId="3" fontId="2" numFmtId="0" xfId="0" applyAlignment="1" applyBorder="1" applyFill="1" applyFont="1">
      <alignment horizontal="center" readingOrder="0" shrinkToFit="0" vertical="center" wrapText="1"/>
    </xf>
    <xf borderId="2" fillId="0" fontId="3" numFmtId="0" xfId="0" applyBorder="1" applyFont="1"/>
    <xf borderId="3" fillId="0" fontId="3" numFmtId="0" xfId="0" applyBorder="1" applyFont="1"/>
    <xf borderId="1" fillId="4" fontId="4" numFmtId="0" xfId="0" applyAlignment="1" applyBorder="1" applyFill="1" applyFont="1">
      <alignment horizontal="center" shrinkToFit="0" vertical="center" wrapText="1"/>
    </xf>
    <xf borderId="4" fillId="3" fontId="5" numFmtId="0" xfId="0" applyAlignment="1" applyBorder="1" applyFont="1">
      <alignment horizontal="center" shrinkToFit="0" vertical="center" wrapText="1"/>
    </xf>
    <xf borderId="4" fillId="3" fontId="5" numFmtId="0" xfId="0" applyAlignment="1" applyBorder="1" applyFont="1">
      <alignment horizontal="center" readingOrder="0" shrinkToFit="0" vertical="center" wrapText="1"/>
    </xf>
    <xf borderId="0" fillId="0" fontId="6" numFmtId="0" xfId="0" applyAlignment="1" applyFont="1">
      <alignment horizontal="center" shrinkToFit="0" vertical="center" wrapText="1"/>
    </xf>
    <xf borderId="4" fillId="5" fontId="7" numFmtId="0" xfId="0" applyAlignment="1" applyBorder="1" applyFill="1" applyFont="1">
      <alignment horizontal="center" shrinkToFit="0" vertical="center" wrapText="1"/>
    </xf>
    <xf borderId="4" fillId="6" fontId="8" numFmtId="0" xfId="0" applyAlignment="1" applyBorder="1" applyFill="1" applyFont="1">
      <alignment horizontal="center" shrinkToFit="0" vertical="center" wrapText="1"/>
    </xf>
    <xf borderId="4" fillId="4" fontId="9" numFmtId="0" xfId="0" applyAlignment="1" applyBorder="1" applyFont="1">
      <alignment horizontal="left" shrinkToFit="0" vertical="center" wrapText="1"/>
    </xf>
    <xf borderId="4" fillId="4" fontId="10" numFmtId="0" xfId="0" applyAlignment="1" applyBorder="1" applyFont="1">
      <alignment horizontal="center" readingOrder="0" shrinkToFit="0" vertical="center" wrapText="1"/>
    </xf>
    <xf borderId="4" fillId="7" fontId="11" numFmtId="0" xfId="0" applyAlignment="1" applyBorder="1" applyFill="1" applyFont="1">
      <alignment horizontal="center" readingOrder="0" shrinkToFit="0" vertical="center" wrapText="1"/>
    </xf>
    <xf borderId="4" fillId="4" fontId="12" numFmtId="0" xfId="0" applyAlignment="1" applyBorder="1" applyFont="1">
      <alignment horizontal="center" shrinkToFit="0" vertical="center" wrapText="1"/>
    </xf>
    <xf borderId="4" fillId="0" fontId="9" numFmtId="0" xfId="0" applyAlignment="1" applyBorder="1" applyFont="1">
      <alignment horizontal="center" shrinkToFit="0" vertical="center" wrapText="1"/>
    </xf>
    <xf borderId="4" fillId="8" fontId="11" numFmtId="0" xfId="0" applyAlignment="1" applyBorder="1" applyFill="1" applyFont="1">
      <alignment horizontal="center" readingOrder="0" shrinkToFit="0" vertical="center" wrapText="1"/>
    </xf>
    <xf borderId="5" fillId="3" fontId="13" numFmtId="0" xfId="0" applyAlignment="1" applyBorder="1" applyFont="1">
      <alignment horizontal="center" shrinkToFit="0" vertical="center" wrapText="1"/>
    </xf>
    <xf borderId="6" fillId="0" fontId="3" numFmtId="0" xfId="0" applyBorder="1" applyFont="1"/>
    <xf borderId="7" fillId="0" fontId="3" numFmtId="0" xfId="0" applyBorder="1" applyFont="1"/>
    <xf borderId="4" fillId="3" fontId="10" numFmtId="0" xfId="0" applyBorder="1" applyFont="1"/>
    <xf borderId="4" fillId="3" fontId="14" numFmtId="0" xfId="0" applyAlignment="1" applyBorder="1" applyFont="1">
      <alignment horizontal="center" shrinkToFit="0" vertical="center" wrapText="1"/>
    </xf>
    <xf borderId="4" fillId="3" fontId="13" numFmtId="0" xfId="0" applyAlignment="1" applyBorder="1" applyFont="1">
      <alignment horizontal="center" shrinkToFit="0" vertical="center" wrapText="1"/>
    </xf>
    <xf borderId="0" fillId="0" fontId="15" numFmtId="0" xfId="0" applyAlignment="1" applyFont="1">
      <alignment readingOrder="0"/>
    </xf>
    <xf borderId="4" fillId="5" fontId="16" numFmtId="0" xfId="0" applyAlignment="1" applyBorder="1" applyFont="1">
      <alignment horizontal="center" readingOrder="0" shrinkToFit="0" vertical="center" wrapText="1"/>
    </xf>
    <xf borderId="4" fillId="6" fontId="17" numFmtId="0" xfId="0" applyAlignment="1" applyBorder="1" applyFont="1">
      <alignment horizontal="center" readingOrder="0" shrinkToFit="0" vertical="center" wrapText="1"/>
    </xf>
    <xf borderId="4" fillId="9" fontId="18" numFmtId="0" xfId="0" applyAlignment="1" applyBorder="1" applyFill="1" applyFont="1">
      <alignment horizontal="center" shrinkToFit="0" vertical="center" wrapText="1"/>
    </xf>
    <xf borderId="4" fillId="6" fontId="17" numFmtId="0" xfId="0" applyAlignment="1" applyBorder="1" applyFont="1">
      <alignment horizontal="center" shrinkToFit="0" vertical="center" wrapText="1"/>
    </xf>
    <xf borderId="4" fillId="10" fontId="19" numFmtId="0" xfId="0" applyAlignment="1" applyBorder="1" applyFill="1" applyFont="1">
      <alignment horizontal="center" shrinkToFit="0" vertical="center" wrapText="1"/>
    </xf>
    <xf borderId="1" fillId="3" fontId="14" numFmtId="0" xfId="0" applyAlignment="1" applyBorder="1" applyFont="1">
      <alignment horizontal="center" shrinkToFit="0" vertical="center" wrapText="1"/>
    </xf>
    <xf borderId="1" fillId="4" fontId="4" numFmtId="0" xfId="0" applyAlignment="1" applyBorder="1" applyFont="1">
      <alignment horizontal="center" readingOrder="0" shrinkToFit="0" vertical="center" wrapText="1"/>
    </xf>
    <xf borderId="4" fillId="5" fontId="20" numFmtId="0" xfId="0" applyAlignment="1" applyBorder="1" applyFont="1">
      <alignment horizontal="left" readingOrder="0" shrinkToFit="0" vertical="center" wrapText="1"/>
    </xf>
    <xf borderId="4" fillId="5" fontId="21" numFmtId="0" xfId="0" applyAlignment="1" applyBorder="1" applyFont="1">
      <alignment horizontal="center" shrinkToFit="0" vertical="center" wrapText="1"/>
    </xf>
    <xf borderId="4" fillId="6" fontId="20" numFmtId="0" xfId="0" applyAlignment="1" applyBorder="1" applyFont="1">
      <alignment horizontal="left" readingOrder="0" shrinkToFit="0" vertical="center" wrapText="1"/>
    </xf>
    <xf borderId="4" fillId="6" fontId="22" numFmtId="0" xfId="0" applyAlignment="1" applyBorder="1" applyFont="1">
      <alignment horizontal="center" shrinkToFit="0" vertical="center" wrapText="1"/>
    </xf>
    <xf borderId="4" fillId="5" fontId="20" numFmtId="0" xfId="0" applyAlignment="1" applyBorder="1" applyFont="1">
      <alignment horizontal="left" shrinkToFit="0" vertical="center" wrapText="1"/>
    </xf>
    <xf borderId="0" fillId="0" fontId="23" numFmtId="0" xfId="0" applyAlignment="1" applyFont="1">
      <alignment shrinkToFit="0" wrapText="1"/>
    </xf>
    <xf borderId="0" fillId="0" fontId="9" numFmtId="0" xfId="0" applyAlignment="1" applyFont="1">
      <alignment shrinkToFit="0" wrapText="1"/>
    </xf>
    <xf borderId="4" fillId="9" fontId="9" numFmtId="0" xfId="0" applyAlignment="1" applyBorder="1" applyFont="1">
      <alignment horizontal="center" shrinkToFit="0" vertical="center" wrapText="1"/>
    </xf>
    <xf borderId="4" fillId="9" fontId="24" numFmtId="0" xfId="0" applyAlignment="1" applyBorder="1" applyFont="1">
      <alignment horizontal="left" shrinkToFit="0" vertical="center" wrapText="1"/>
    </xf>
    <xf borderId="4" fillId="5" fontId="9" numFmtId="0" xfId="0" applyAlignment="1" applyBorder="1" applyFont="1">
      <alignment horizontal="center" shrinkToFit="0" vertical="center" wrapText="1"/>
    </xf>
    <xf borderId="4" fillId="5" fontId="21" numFmtId="0" xfId="0" applyAlignment="1" applyBorder="1" applyFont="1">
      <alignment horizontal="left" shrinkToFit="0" vertical="center" wrapText="1"/>
    </xf>
    <xf borderId="4" fillId="6" fontId="9" numFmtId="0" xfId="0" applyAlignment="1" applyBorder="1" applyFont="1">
      <alignment horizontal="center" shrinkToFit="0" vertical="center" wrapText="1"/>
    </xf>
    <xf borderId="4" fillId="6" fontId="22" numFmtId="0" xfId="0" applyAlignment="1" applyBorder="1" applyFont="1">
      <alignment horizontal="left" shrinkToFit="0" vertical="center" wrapText="1"/>
    </xf>
    <xf borderId="4" fillId="10" fontId="9" numFmtId="0" xfId="0" applyAlignment="1" applyBorder="1" applyFont="1">
      <alignment horizontal="center" shrinkToFit="0" vertical="center" wrapText="1"/>
    </xf>
    <xf borderId="4" fillId="10" fontId="25" numFmtId="0" xfId="0" applyAlignment="1" applyBorder="1" applyFont="1">
      <alignment horizontal="left" shrinkToFit="0" vertical="center" wrapText="1"/>
    </xf>
    <xf borderId="4" fillId="4" fontId="6" numFmtId="0" xfId="0" applyAlignment="1" applyBorder="1" applyFont="1">
      <alignment horizontal="center" shrinkToFit="0" vertical="center" wrapText="1"/>
    </xf>
    <xf borderId="4" fillId="11" fontId="10" numFmtId="0" xfId="0" applyAlignment="1" applyBorder="1" applyFill="1" applyFont="1">
      <alignment readingOrder="0" shrinkToFit="0" vertical="top" wrapText="1"/>
    </xf>
    <xf borderId="4" fillId="11" fontId="10" numFmtId="0" xfId="0" applyAlignment="1" applyBorder="1" applyFont="1">
      <alignment horizontal="left" readingOrder="0" shrinkToFit="0" vertical="top" wrapText="1"/>
    </xf>
    <xf borderId="8" fillId="3" fontId="5" numFmtId="0" xfId="0" applyAlignment="1" applyBorder="1" applyFont="1">
      <alignment horizontal="center" shrinkToFit="0" vertical="center" wrapText="1"/>
    </xf>
    <xf borderId="4" fillId="12" fontId="26" numFmtId="0" xfId="0" applyAlignment="1" applyBorder="1" applyFill="1" applyFont="1">
      <alignment horizontal="center" shrinkToFit="0" vertical="center" wrapText="1"/>
    </xf>
    <xf borderId="4" fillId="9" fontId="24" numFmtId="0" xfId="0" applyAlignment="1" applyBorder="1" applyFont="1">
      <alignment horizontal="center" shrinkToFit="0" vertical="center" wrapText="1"/>
    </xf>
    <xf borderId="9" fillId="0" fontId="3" numFmtId="0" xfId="0" applyBorder="1" applyFont="1"/>
    <xf borderId="4" fillId="12" fontId="27" numFmtId="0" xfId="0" applyAlignment="1" applyBorder="1" applyFont="1">
      <alignment horizontal="center" shrinkToFit="0" vertical="center" wrapText="1"/>
    </xf>
    <xf borderId="4" fillId="9" fontId="28" numFmtId="0" xfId="0" applyAlignment="1" applyBorder="1" applyFont="1">
      <alignment horizontal="center" shrinkToFit="0" vertical="center" wrapText="1"/>
    </xf>
    <xf borderId="4" fillId="6" fontId="29" numFmtId="0" xfId="0" applyAlignment="1" applyBorder="1" applyFont="1">
      <alignment horizontal="center" shrinkToFit="0" vertical="center" wrapText="1"/>
    </xf>
    <xf borderId="4" fillId="5" fontId="30" numFmtId="0" xfId="0" applyAlignment="1" applyBorder="1" applyFont="1">
      <alignment horizontal="center" shrinkToFit="0" vertical="center" wrapText="1"/>
    </xf>
    <xf borderId="1" fillId="11" fontId="31" numFmtId="0" xfId="0" applyAlignment="1" applyBorder="1" applyFont="1">
      <alignment horizontal="left" shrinkToFit="0" vertical="center" wrapText="1"/>
    </xf>
    <xf borderId="4" fillId="13" fontId="5" numFmtId="0" xfId="0" applyAlignment="1" applyBorder="1" applyFill="1" applyFont="1">
      <alignment horizontal="center" shrinkToFit="0" vertical="center" wrapText="1"/>
    </xf>
    <xf borderId="4" fillId="14" fontId="5" numFmtId="0" xfId="0" applyAlignment="1" applyBorder="1" applyFill="1" applyFont="1">
      <alignment horizontal="center" shrinkToFit="0" vertical="center" wrapText="1"/>
    </xf>
    <xf borderId="4" fillId="15" fontId="5" numFmtId="0" xfId="0" applyAlignment="1" applyBorder="1" applyFill="1" applyFont="1">
      <alignment horizontal="center" shrinkToFit="0" vertical="center" wrapText="1"/>
    </xf>
    <xf borderId="4" fillId="16" fontId="5" numFmtId="0" xfId="0" applyAlignment="1" applyBorder="1" applyFill="1" applyFont="1">
      <alignment horizontal="center" shrinkToFit="0" vertical="center" wrapText="1"/>
    </xf>
    <xf borderId="4" fillId="4" fontId="32" numFmtId="0" xfId="0" applyAlignment="1" applyBorder="1" applyFont="1">
      <alignment horizontal="left" shrinkToFit="0" vertical="center" wrapText="1"/>
    </xf>
    <xf borderId="4" fillId="11" fontId="33" numFmtId="0" xfId="0" applyAlignment="1" applyBorder="1" applyFont="1">
      <alignment horizontal="left" readingOrder="0" shrinkToFit="0" vertical="top" wrapText="1"/>
    </xf>
    <xf borderId="0" fillId="11" fontId="23" numFmtId="0" xfId="0" applyAlignment="1" applyFont="1">
      <alignment readingOrder="0" shrinkToFit="0" wrapText="1"/>
    </xf>
    <xf borderId="1" fillId="3" fontId="13" numFmtId="0" xfId="0" applyAlignment="1" applyBorder="1" applyFont="1">
      <alignment horizontal="center" readingOrder="0" shrinkToFit="0" vertical="center" wrapText="1"/>
    </xf>
    <xf borderId="4" fillId="4" fontId="34" numFmtId="0" xfId="0" applyAlignment="1" applyBorder="1" applyFont="1">
      <alignment horizontal="center" shrinkToFit="0" vertical="center" wrapText="1"/>
    </xf>
    <xf borderId="4" fillId="4" fontId="32" numFmtId="0" xfId="0" applyAlignment="1" applyBorder="1" applyFont="1">
      <alignment horizontal="center" shrinkToFit="0" vertical="center" wrapText="1"/>
    </xf>
    <xf borderId="0" fillId="0" fontId="23" numFmtId="0" xfId="0" applyAlignment="1" applyFont="1">
      <alignment readingOrder="0" shrinkToFit="0" vertical="top" wrapText="1"/>
    </xf>
    <xf borderId="0" fillId="0" fontId="23"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3" width="10.0"/>
    <col customWidth="1" min="4" max="4" width="11.0"/>
    <col customWidth="1" min="5" max="5" width="12.57"/>
    <col customWidth="1" min="6" max="8" width="11.0"/>
    <col customWidth="1" min="9" max="9" width="12.14"/>
    <col customWidth="1" min="10" max="13" width="11.0"/>
    <col customWidth="1" min="14" max="14" width="16.57"/>
    <col customWidth="1" min="15" max="15" width="12.0"/>
    <col customWidth="1" min="16" max="26" width="8.71"/>
  </cols>
  <sheetData>
    <row r="1" ht="31.5" customHeight="1">
      <c r="A1" s="1" t="s">
        <v>0</v>
      </c>
      <c r="B1" s="1"/>
      <c r="C1" s="2"/>
      <c r="D1" s="2"/>
      <c r="E1" s="2"/>
      <c r="F1" s="2"/>
      <c r="G1" s="2"/>
      <c r="H1" s="2"/>
      <c r="I1" s="2"/>
      <c r="J1" s="2"/>
      <c r="K1" s="2"/>
      <c r="L1" s="2"/>
      <c r="M1" s="2"/>
      <c r="N1" s="2"/>
    </row>
    <row r="2" ht="36.0" customHeight="1">
      <c r="C2" s="2"/>
      <c r="D2" s="2"/>
      <c r="E2" s="2"/>
      <c r="F2" s="2"/>
      <c r="G2" s="2"/>
      <c r="H2" s="2"/>
      <c r="I2" s="2"/>
      <c r="J2" s="2"/>
      <c r="K2" s="2"/>
      <c r="L2" s="2"/>
      <c r="M2" s="2"/>
      <c r="N2" s="2"/>
    </row>
    <row r="3" ht="31.5" customHeight="1">
      <c r="A3" s="3">
        <v>46126.0</v>
      </c>
      <c r="C3" s="2"/>
      <c r="D3" s="2"/>
      <c r="E3" s="2"/>
      <c r="F3" s="2"/>
      <c r="G3" s="2"/>
      <c r="H3" s="2"/>
      <c r="I3" s="2"/>
      <c r="J3" s="2"/>
      <c r="K3" s="2"/>
      <c r="L3" s="2"/>
      <c r="M3" s="2"/>
      <c r="N3" s="2"/>
    </row>
    <row r="4" ht="31.5" customHeight="1">
      <c r="A4" s="4"/>
      <c r="B4" s="2"/>
      <c r="C4" s="2"/>
      <c r="D4" s="2"/>
      <c r="E4" s="2"/>
      <c r="F4" s="2"/>
      <c r="G4" s="2"/>
      <c r="H4" s="2"/>
      <c r="I4" s="2"/>
      <c r="J4" s="2"/>
      <c r="K4" s="2"/>
      <c r="L4" s="2"/>
      <c r="M4" s="2"/>
      <c r="N4" s="2"/>
    </row>
    <row r="5" ht="31.5" customHeight="1">
      <c r="A5" s="5" t="s">
        <v>1</v>
      </c>
      <c r="B5" s="6"/>
      <c r="C5" s="6"/>
      <c r="D5" s="6"/>
      <c r="E5" s="6"/>
      <c r="F5" s="6"/>
      <c r="G5" s="6"/>
      <c r="H5" s="6"/>
      <c r="I5" s="6"/>
      <c r="J5" s="6"/>
      <c r="K5" s="6"/>
      <c r="L5" s="6"/>
      <c r="M5" s="6"/>
      <c r="N5" s="7"/>
    </row>
    <row r="6" ht="18.0" customHeight="1">
      <c r="A6" s="8" t="s">
        <v>2</v>
      </c>
      <c r="B6" s="6"/>
      <c r="C6" s="6"/>
      <c r="D6" s="6"/>
      <c r="E6" s="6"/>
      <c r="F6" s="6"/>
      <c r="G6" s="6"/>
      <c r="H6" s="6"/>
      <c r="I6" s="6"/>
      <c r="J6" s="6"/>
      <c r="K6" s="6"/>
      <c r="L6" s="6"/>
      <c r="M6" s="6"/>
      <c r="N6" s="7"/>
    </row>
    <row r="7">
      <c r="A7" s="9" t="s">
        <v>3</v>
      </c>
      <c r="B7" s="9" t="s">
        <v>4</v>
      </c>
      <c r="C7" s="9" t="s">
        <v>5</v>
      </c>
      <c r="D7" s="9" t="s">
        <v>6</v>
      </c>
      <c r="E7" s="9" t="s">
        <v>7</v>
      </c>
      <c r="F7" s="9" t="s">
        <v>8</v>
      </c>
      <c r="G7" s="9" t="s">
        <v>9</v>
      </c>
      <c r="H7" s="9" t="s">
        <v>10</v>
      </c>
      <c r="I7" s="9" t="s">
        <v>11</v>
      </c>
      <c r="J7" s="9" t="s">
        <v>12</v>
      </c>
      <c r="K7" s="10" t="s">
        <v>13</v>
      </c>
      <c r="L7" s="9" t="s">
        <v>14</v>
      </c>
      <c r="M7" s="9" t="s">
        <v>15</v>
      </c>
      <c r="N7" s="9" t="s">
        <v>16</v>
      </c>
      <c r="O7" s="9" t="s">
        <v>17</v>
      </c>
    </row>
    <row r="8" ht="15.75" customHeight="1">
      <c r="A8" s="11" t="s">
        <v>18</v>
      </c>
      <c r="D8" s="12" t="s">
        <v>19</v>
      </c>
      <c r="E8" s="13" t="s">
        <v>20</v>
      </c>
      <c r="F8" s="12" t="s">
        <v>19</v>
      </c>
      <c r="G8" s="13" t="s">
        <v>20</v>
      </c>
      <c r="H8" s="12" t="s">
        <v>19</v>
      </c>
      <c r="I8" s="13" t="s">
        <v>20</v>
      </c>
      <c r="J8" s="12" t="s">
        <v>19</v>
      </c>
      <c r="K8" s="13" t="s">
        <v>20</v>
      </c>
      <c r="L8" s="12" t="s">
        <v>19</v>
      </c>
      <c r="M8" s="13" t="s">
        <v>20</v>
      </c>
    </row>
    <row r="9" ht="21.75" customHeight="1">
      <c r="A9" s="14" t="s">
        <v>21</v>
      </c>
      <c r="B9" s="15">
        <v>22.0</v>
      </c>
      <c r="C9" s="15" t="s">
        <v>22</v>
      </c>
      <c r="D9" s="16">
        <v>3.0</v>
      </c>
      <c r="E9" s="16">
        <v>1.5</v>
      </c>
      <c r="F9" s="16">
        <v>4.0</v>
      </c>
      <c r="G9" s="16">
        <v>1.0</v>
      </c>
      <c r="H9" s="16">
        <v>5.0</v>
      </c>
      <c r="I9" s="16">
        <v>1.0</v>
      </c>
      <c r="J9" s="16">
        <v>5.0</v>
      </c>
      <c r="K9" s="16">
        <v>1.0</v>
      </c>
      <c r="L9" s="16">
        <v>4.0</v>
      </c>
      <c r="M9" s="16">
        <v>1.0</v>
      </c>
      <c r="N9" s="17">
        <f t="shared" ref="N9:N10" si="1">IF(COUNTA(D9:M9)&lt;10,"—",((D9-1)+(5-E9)+(F9-1)+(5-G9)+(H9-1)+(5-I9)+(J9-1)+(5-K9)+(L9-1)+(5-M9))*2.5)</f>
        <v>88.75</v>
      </c>
      <c r="O9" s="18" t="str">
        <f t="shared" ref="O9:O15" si="2">IF(N9="—","Incomplete",IF(N9&gt;=80,"Excellent",IF(N9&gt;=68,"Above average","Needs work")))</f>
        <v>Excellent</v>
      </c>
    </row>
    <row r="10" ht="21.75" customHeight="1">
      <c r="A10" s="14" t="s">
        <v>23</v>
      </c>
      <c r="B10" s="15">
        <v>22.0</v>
      </c>
      <c r="C10" s="15" t="s">
        <v>22</v>
      </c>
      <c r="D10" s="19">
        <v>2.0</v>
      </c>
      <c r="E10" s="19">
        <v>2.0</v>
      </c>
      <c r="F10" s="19">
        <v>4.0</v>
      </c>
      <c r="G10" s="19">
        <v>5.0</v>
      </c>
      <c r="H10" s="19">
        <v>5.0</v>
      </c>
      <c r="I10" s="19">
        <v>3.0</v>
      </c>
      <c r="J10" s="19">
        <v>3.0</v>
      </c>
      <c r="K10" s="19">
        <v>2.0</v>
      </c>
      <c r="L10" s="19">
        <v>3.0</v>
      </c>
      <c r="M10" s="19">
        <v>2.0</v>
      </c>
      <c r="N10" s="17">
        <f t="shared" si="1"/>
        <v>57.5</v>
      </c>
      <c r="O10" s="18" t="str">
        <f t="shared" si="2"/>
        <v>Needs work</v>
      </c>
    </row>
    <row r="11">
      <c r="A11" s="14" t="s">
        <v>24</v>
      </c>
      <c r="B11" s="15">
        <v>21.0</v>
      </c>
      <c r="C11" s="15" t="s">
        <v>25</v>
      </c>
      <c r="D11" s="16">
        <v>2.0</v>
      </c>
      <c r="E11" s="16">
        <v>1.0</v>
      </c>
      <c r="F11" s="16">
        <v>4.0</v>
      </c>
      <c r="G11" s="16">
        <v>1.0</v>
      </c>
      <c r="H11" s="16">
        <v>4.0</v>
      </c>
      <c r="I11" s="16">
        <v>1.0</v>
      </c>
      <c r="J11" s="16">
        <v>3.0</v>
      </c>
      <c r="K11" s="16">
        <v>4.0</v>
      </c>
      <c r="L11" s="16">
        <v>5.0</v>
      </c>
      <c r="M11" s="16">
        <v>1.0</v>
      </c>
      <c r="N11" s="17">
        <f>IF(COUNTA(D11:M11)&lt;10,"-",((D11-1)+(5-E11)+(F11-1)+(5-G11)+(H11-1)+(5-I11)+(J11-1)+(5-K11)+(L11-1)+(5-M11))*2.5)</f>
        <v>75</v>
      </c>
      <c r="O11" s="18" t="str">
        <f t="shared" si="2"/>
        <v>Above average</v>
      </c>
    </row>
    <row r="12" ht="21.75" customHeight="1">
      <c r="A12" s="14" t="s">
        <v>26</v>
      </c>
      <c r="B12" s="15">
        <v>20.0</v>
      </c>
      <c r="C12" s="15" t="s">
        <v>25</v>
      </c>
      <c r="D12" s="19">
        <v>3.0</v>
      </c>
      <c r="E12" s="19">
        <v>2.0</v>
      </c>
      <c r="F12" s="19">
        <v>4.0</v>
      </c>
      <c r="G12" s="19">
        <v>1.0</v>
      </c>
      <c r="H12" s="19">
        <v>5.0</v>
      </c>
      <c r="I12" s="19">
        <v>1.0</v>
      </c>
      <c r="J12" s="19">
        <v>5.0</v>
      </c>
      <c r="K12" s="19">
        <v>1.0</v>
      </c>
      <c r="L12" s="19">
        <v>4.0</v>
      </c>
      <c r="M12" s="19">
        <v>1.0</v>
      </c>
      <c r="N12" s="17">
        <f t="shared" ref="N12:N15" si="3">IF(COUNTA(D12:M12)&lt;10,"—",((D12-1)+(5-E12)+(F12-1)+(5-G12)+(H12-1)+(5-I12)+(J12-1)+(5-K12)+(L12-1)+(5-M12))*2.5)</f>
        <v>87.5</v>
      </c>
      <c r="O12" s="18" t="str">
        <f t="shared" si="2"/>
        <v>Excellent</v>
      </c>
    </row>
    <row r="13">
      <c r="A13" s="14" t="s">
        <v>27</v>
      </c>
      <c r="B13" s="15">
        <v>22.0</v>
      </c>
      <c r="C13" s="15" t="s">
        <v>25</v>
      </c>
      <c r="D13" s="16">
        <v>3.5</v>
      </c>
      <c r="E13" s="16">
        <v>1.0</v>
      </c>
      <c r="F13" s="16">
        <v>4.0</v>
      </c>
      <c r="G13" s="16">
        <v>2.0</v>
      </c>
      <c r="H13" s="16">
        <v>3.0</v>
      </c>
      <c r="I13" s="16">
        <v>1.0</v>
      </c>
      <c r="J13" s="16">
        <v>4.0</v>
      </c>
      <c r="K13" s="16">
        <v>2.0</v>
      </c>
      <c r="L13" s="16">
        <v>4.0</v>
      </c>
      <c r="M13" s="16">
        <v>2.0</v>
      </c>
      <c r="N13" s="17">
        <f t="shared" si="3"/>
        <v>76.25</v>
      </c>
      <c r="O13" s="18" t="str">
        <f t="shared" si="2"/>
        <v>Above average</v>
      </c>
    </row>
    <row r="14">
      <c r="A14" s="14" t="s">
        <v>28</v>
      </c>
      <c r="B14" s="15">
        <v>21.0</v>
      </c>
      <c r="C14" s="15" t="s">
        <v>25</v>
      </c>
      <c r="D14" s="19">
        <v>3.0</v>
      </c>
      <c r="E14" s="19">
        <v>1.0</v>
      </c>
      <c r="F14" s="19">
        <v>4.5</v>
      </c>
      <c r="G14" s="19">
        <v>2.0</v>
      </c>
      <c r="H14" s="19">
        <v>3.5</v>
      </c>
      <c r="I14" s="19">
        <v>2.0</v>
      </c>
      <c r="J14" s="19">
        <v>4.0</v>
      </c>
      <c r="K14" s="19">
        <v>1.0</v>
      </c>
      <c r="L14" s="19">
        <v>4.0</v>
      </c>
      <c r="M14" s="19">
        <v>1.5</v>
      </c>
      <c r="N14" s="17">
        <f t="shared" si="3"/>
        <v>78.75</v>
      </c>
      <c r="O14" s="18" t="str">
        <f t="shared" si="2"/>
        <v>Above average</v>
      </c>
    </row>
    <row r="15" ht="21.75" customHeight="1">
      <c r="A15" s="14" t="s">
        <v>29</v>
      </c>
      <c r="B15" s="15">
        <v>21.0</v>
      </c>
      <c r="C15" s="15" t="s">
        <v>22</v>
      </c>
      <c r="D15" s="16">
        <v>3.0</v>
      </c>
      <c r="E15" s="16">
        <v>2.0</v>
      </c>
      <c r="F15" s="16">
        <v>4.0</v>
      </c>
      <c r="G15" s="16">
        <v>2.0</v>
      </c>
      <c r="H15" s="16">
        <v>3.0</v>
      </c>
      <c r="I15" s="16">
        <v>1.0</v>
      </c>
      <c r="J15" s="16">
        <v>3.0</v>
      </c>
      <c r="K15" s="16">
        <v>2.0</v>
      </c>
      <c r="L15" s="16">
        <v>4.0</v>
      </c>
      <c r="M15" s="16">
        <v>3.0</v>
      </c>
      <c r="N15" s="17">
        <f t="shared" si="3"/>
        <v>67.5</v>
      </c>
      <c r="O15" s="18" t="str">
        <f t="shared" si="2"/>
        <v>Needs work</v>
      </c>
    </row>
    <row r="16" ht="25.5" customHeight="1">
      <c r="A16" s="20" t="s">
        <v>30</v>
      </c>
      <c r="B16" s="21"/>
      <c r="C16" s="22"/>
      <c r="D16" s="23"/>
      <c r="E16" s="23"/>
      <c r="F16" s="23"/>
      <c r="G16" s="23"/>
      <c r="H16" s="23"/>
      <c r="I16" s="23"/>
      <c r="J16" s="23"/>
      <c r="K16" s="23"/>
      <c r="L16" s="23"/>
      <c r="M16" s="23"/>
      <c r="N16" s="24">
        <f>IFERROR(AVERAGE(N9:N15),"—")</f>
        <v>75.89285714</v>
      </c>
      <c r="O16" s="25" t="str">
        <f>IF(N16="-","-",IF(N16&gt;=80,"Excellent",IF(N16&gt;=68,"Above average","Needs work")))</f>
        <v>Above average</v>
      </c>
    </row>
    <row r="18">
      <c r="A18" s="26" t="s">
        <v>31</v>
      </c>
      <c r="B18" s="27" t="s">
        <v>32</v>
      </c>
      <c r="D18" s="28" t="s">
        <v>33</v>
      </c>
      <c r="F18" s="29" t="s">
        <v>34</v>
      </c>
      <c r="H18" s="30" t="s">
        <v>35</v>
      </c>
      <c r="J18" s="31" t="s">
        <v>36</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5">
    <mergeCell ref="A6:N6"/>
    <mergeCell ref="A5:N5"/>
    <mergeCell ref="A16:C16"/>
    <mergeCell ref="A8:C8"/>
    <mergeCell ref="A3:B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45.0"/>
    <col customWidth="1" min="3" max="3" width="30.0"/>
    <col customWidth="1" min="4" max="26" width="8.71"/>
  </cols>
  <sheetData>
    <row r="1" ht="27.75" customHeight="1">
      <c r="A1" s="32" t="s">
        <v>37</v>
      </c>
      <c r="B1" s="6"/>
      <c r="C1" s="7"/>
    </row>
    <row r="2" ht="18.0" customHeight="1">
      <c r="A2" s="33" t="s">
        <v>38</v>
      </c>
      <c r="B2" s="6"/>
      <c r="C2" s="7"/>
    </row>
    <row r="3" ht="19.5" customHeight="1">
      <c r="A3" s="25" t="s">
        <v>39</v>
      </c>
      <c r="B3" s="25" t="s">
        <v>40</v>
      </c>
      <c r="C3" s="25" t="s">
        <v>41</v>
      </c>
    </row>
    <row r="4">
      <c r="A4" s="34" t="s">
        <v>42</v>
      </c>
      <c r="B4" s="35" t="s">
        <v>43</v>
      </c>
      <c r="C4" s="34" t="s">
        <v>44</v>
      </c>
    </row>
    <row r="5">
      <c r="A5" s="36" t="s">
        <v>45</v>
      </c>
      <c r="B5" s="37" t="s">
        <v>46</v>
      </c>
      <c r="C5" s="36" t="s">
        <v>47</v>
      </c>
    </row>
    <row r="6" ht="19.5" customHeight="1">
      <c r="A6" s="34" t="s">
        <v>48</v>
      </c>
      <c r="B6" s="35" t="s">
        <v>43</v>
      </c>
      <c r="C6" s="38" t="s">
        <v>49</v>
      </c>
    </row>
    <row r="7" ht="19.5" customHeight="1">
      <c r="A7" s="36" t="s">
        <v>50</v>
      </c>
      <c r="B7" s="37" t="s">
        <v>46</v>
      </c>
      <c r="C7" s="36" t="s">
        <v>51</v>
      </c>
    </row>
    <row r="8" ht="19.5" customHeight="1">
      <c r="A8" s="34" t="s">
        <v>52</v>
      </c>
      <c r="B8" s="35" t="s">
        <v>43</v>
      </c>
      <c r="C8" s="38" t="s">
        <v>49</v>
      </c>
    </row>
    <row r="9" ht="19.5" customHeight="1">
      <c r="A9" s="36" t="s">
        <v>53</v>
      </c>
      <c r="B9" s="37" t="s">
        <v>46</v>
      </c>
      <c r="C9" s="36" t="s">
        <v>51</v>
      </c>
    </row>
    <row r="10">
      <c r="A10" s="34" t="s">
        <v>54</v>
      </c>
      <c r="B10" s="35" t="s">
        <v>43</v>
      </c>
      <c r="C10" s="38" t="s">
        <v>49</v>
      </c>
    </row>
    <row r="11" ht="19.5" customHeight="1">
      <c r="A11" s="36" t="s">
        <v>55</v>
      </c>
      <c r="B11" s="37" t="s">
        <v>46</v>
      </c>
      <c r="C11" s="36" t="s">
        <v>51</v>
      </c>
    </row>
    <row r="12" ht="19.5" customHeight="1">
      <c r="A12" s="34" t="s">
        <v>56</v>
      </c>
      <c r="B12" s="35" t="s">
        <v>43</v>
      </c>
      <c r="C12" s="38" t="s">
        <v>49</v>
      </c>
    </row>
    <row r="13">
      <c r="A13" s="36" t="s">
        <v>57</v>
      </c>
      <c r="B13" s="37" t="s">
        <v>46</v>
      </c>
      <c r="C13" s="36" t="s">
        <v>51</v>
      </c>
    </row>
    <row r="14">
      <c r="A14" s="39"/>
      <c r="B14" s="39"/>
      <c r="C14" s="39"/>
    </row>
    <row r="15">
      <c r="A15" s="39"/>
      <c r="B15" s="39"/>
      <c r="C15" s="39"/>
    </row>
    <row r="16" ht="18.0" customHeight="1">
      <c r="A16" s="40" t="s">
        <v>58</v>
      </c>
      <c r="B16" s="39"/>
      <c r="C16" s="39"/>
    </row>
    <row r="17" ht="19.5" customHeight="1">
      <c r="A17" s="41" t="s">
        <v>59</v>
      </c>
      <c r="B17" s="42" t="s">
        <v>60</v>
      </c>
      <c r="C17" s="39"/>
    </row>
    <row r="18" ht="19.5" customHeight="1">
      <c r="A18" s="43" t="s">
        <v>61</v>
      </c>
      <c r="B18" s="44" t="s">
        <v>62</v>
      </c>
      <c r="C18" s="39"/>
    </row>
    <row r="19" ht="19.5" customHeight="1">
      <c r="A19" s="45" t="s">
        <v>63</v>
      </c>
      <c r="B19" s="46" t="s">
        <v>64</v>
      </c>
      <c r="C19" s="39"/>
    </row>
    <row r="20" ht="19.5" customHeight="1">
      <c r="A20" s="47" t="s">
        <v>65</v>
      </c>
      <c r="B20" s="48" t="s">
        <v>66</v>
      </c>
      <c r="C20" s="3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
    <mergeCell ref="A1:C1"/>
    <mergeCell ref="A2:C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68.71"/>
    <col customWidth="1" min="3" max="3" width="33.57"/>
    <col customWidth="1" min="4" max="4" width="37.29"/>
    <col customWidth="1" min="5" max="6" width="22.14"/>
    <col customWidth="1" min="7" max="7" width="16.57"/>
    <col customWidth="1" min="8" max="26" width="8.71"/>
  </cols>
  <sheetData>
    <row r="1">
      <c r="A1" s="32" t="s">
        <v>67</v>
      </c>
      <c r="B1" s="6"/>
      <c r="C1" s="6"/>
      <c r="D1" s="6"/>
      <c r="E1" s="6"/>
      <c r="F1" s="6"/>
      <c r="G1" s="7"/>
      <c r="H1" s="39"/>
      <c r="I1" s="39"/>
      <c r="J1" s="39"/>
      <c r="K1" s="39"/>
      <c r="L1" s="39"/>
      <c r="M1" s="39"/>
      <c r="N1" s="39"/>
      <c r="O1" s="39"/>
      <c r="P1" s="39"/>
      <c r="Q1" s="39"/>
      <c r="R1" s="39"/>
      <c r="S1" s="39"/>
      <c r="T1" s="39"/>
      <c r="U1" s="39"/>
      <c r="V1" s="39"/>
      <c r="W1" s="39"/>
      <c r="X1" s="39"/>
      <c r="Y1" s="39"/>
      <c r="Z1" s="39"/>
    </row>
    <row r="2">
      <c r="A2" s="9" t="s">
        <v>3</v>
      </c>
      <c r="B2" s="10" t="s">
        <v>68</v>
      </c>
      <c r="C2" s="10" t="s">
        <v>69</v>
      </c>
      <c r="D2" s="10" t="s">
        <v>70</v>
      </c>
      <c r="E2" s="10" t="s">
        <v>71</v>
      </c>
      <c r="F2" s="10" t="s">
        <v>72</v>
      </c>
      <c r="G2" s="9" t="s">
        <v>73</v>
      </c>
      <c r="H2" s="39"/>
      <c r="I2" s="39"/>
      <c r="J2" s="39"/>
      <c r="K2" s="39"/>
      <c r="L2" s="39"/>
      <c r="M2" s="39"/>
      <c r="N2" s="39"/>
      <c r="O2" s="39"/>
      <c r="P2" s="39"/>
      <c r="Q2" s="39"/>
      <c r="R2" s="39"/>
      <c r="S2" s="39"/>
      <c r="T2" s="39"/>
      <c r="U2" s="39"/>
      <c r="V2" s="39"/>
      <c r="W2" s="39"/>
      <c r="X2" s="39"/>
      <c r="Y2" s="39"/>
      <c r="Z2" s="39"/>
    </row>
    <row r="3">
      <c r="A3" s="49"/>
      <c r="B3" s="49" t="s">
        <v>74</v>
      </c>
      <c r="C3" s="49" t="s">
        <v>74</v>
      </c>
      <c r="D3" s="49" t="s">
        <v>74</v>
      </c>
      <c r="E3" s="49" t="s">
        <v>74</v>
      </c>
      <c r="F3" s="49" t="s">
        <v>74</v>
      </c>
      <c r="G3" s="49"/>
      <c r="H3" s="39"/>
      <c r="I3" s="39"/>
      <c r="J3" s="39"/>
      <c r="K3" s="39"/>
      <c r="L3" s="39"/>
      <c r="M3" s="39"/>
      <c r="N3" s="39"/>
      <c r="O3" s="39"/>
      <c r="P3" s="39"/>
      <c r="Q3" s="39"/>
      <c r="R3" s="39"/>
      <c r="S3" s="39"/>
      <c r="T3" s="39"/>
      <c r="U3" s="39"/>
      <c r="V3" s="39"/>
      <c r="W3" s="39"/>
      <c r="X3" s="39"/>
      <c r="Y3" s="39"/>
      <c r="Z3" s="39"/>
    </row>
    <row r="4">
      <c r="A4" s="14" t="s">
        <v>21</v>
      </c>
      <c r="B4" s="50" t="s">
        <v>75</v>
      </c>
      <c r="C4" s="51" t="s">
        <v>76</v>
      </c>
      <c r="D4" s="50" t="s">
        <v>77</v>
      </c>
      <c r="E4" s="50" t="s">
        <v>78</v>
      </c>
      <c r="F4" s="50" t="s">
        <v>79</v>
      </c>
      <c r="G4" s="17">
        <f>'SUS Scores'!N9</f>
        <v>88.75</v>
      </c>
      <c r="H4" s="39"/>
      <c r="I4" s="39"/>
      <c r="J4" s="39"/>
      <c r="K4" s="39"/>
      <c r="L4" s="39"/>
      <c r="M4" s="39"/>
      <c r="N4" s="39"/>
      <c r="O4" s="39"/>
      <c r="P4" s="39"/>
      <c r="Q4" s="39"/>
      <c r="R4" s="39"/>
      <c r="S4" s="39"/>
      <c r="T4" s="39"/>
      <c r="U4" s="39"/>
      <c r="V4" s="39"/>
      <c r="W4" s="39"/>
      <c r="X4" s="39"/>
      <c r="Y4" s="39"/>
      <c r="Z4" s="39"/>
    </row>
    <row r="5">
      <c r="A5" s="14" t="s">
        <v>23</v>
      </c>
      <c r="B5" s="50" t="s">
        <v>80</v>
      </c>
      <c r="C5" s="50" t="s">
        <v>81</v>
      </c>
      <c r="D5" s="50" t="s">
        <v>82</v>
      </c>
      <c r="E5" s="50" t="s">
        <v>83</v>
      </c>
      <c r="F5" s="50" t="s">
        <v>84</v>
      </c>
      <c r="G5" s="17">
        <f>'SUS Scores'!N10</f>
        <v>57.5</v>
      </c>
      <c r="H5" s="39"/>
      <c r="I5" s="39"/>
      <c r="J5" s="39"/>
      <c r="K5" s="39"/>
      <c r="L5" s="39"/>
      <c r="M5" s="39"/>
      <c r="N5" s="39"/>
      <c r="O5" s="39"/>
      <c r="P5" s="39"/>
      <c r="Q5" s="39"/>
      <c r="R5" s="39"/>
      <c r="S5" s="39"/>
      <c r="T5" s="39"/>
      <c r="U5" s="39"/>
      <c r="V5" s="39"/>
      <c r="W5" s="39"/>
      <c r="X5" s="39"/>
      <c r="Y5" s="39"/>
      <c r="Z5" s="39"/>
    </row>
    <row r="6">
      <c r="A6" s="14" t="s">
        <v>24</v>
      </c>
      <c r="B6" s="50" t="s">
        <v>85</v>
      </c>
      <c r="C6" s="50" t="s">
        <v>86</v>
      </c>
      <c r="D6" s="50" t="s">
        <v>87</v>
      </c>
      <c r="E6" s="50" t="s">
        <v>88</v>
      </c>
      <c r="F6" s="50" t="s">
        <v>89</v>
      </c>
      <c r="G6" s="17">
        <f>'SUS Scores'!N11</f>
        <v>75</v>
      </c>
      <c r="H6" s="39"/>
      <c r="I6" s="39"/>
      <c r="J6" s="39"/>
      <c r="K6" s="39"/>
      <c r="L6" s="39"/>
      <c r="M6" s="39"/>
      <c r="N6" s="39"/>
      <c r="O6" s="39"/>
      <c r="P6" s="39"/>
      <c r="Q6" s="39"/>
      <c r="R6" s="39"/>
      <c r="S6" s="39"/>
      <c r="T6" s="39"/>
      <c r="U6" s="39"/>
      <c r="V6" s="39"/>
      <c r="W6" s="39"/>
      <c r="X6" s="39"/>
      <c r="Y6" s="39"/>
      <c r="Z6" s="39"/>
    </row>
    <row r="7">
      <c r="A7" s="14" t="s">
        <v>26</v>
      </c>
      <c r="B7" s="50" t="s">
        <v>90</v>
      </c>
      <c r="C7" s="50" t="s">
        <v>91</v>
      </c>
      <c r="D7" s="50" t="s">
        <v>92</v>
      </c>
      <c r="E7" s="50" t="s">
        <v>93</v>
      </c>
      <c r="F7" s="50" t="s">
        <v>94</v>
      </c>
      <c r="G7" s="17">
        <f>'SUS Scores'!N12</f>
        <v>87.5</v>
      </c>
      <c r="H7" s="39"/>
      <c r="I7" s="39"/>
      <c r="J7" s="39"/>
      <c r="K7" s="39"/>
      <c r="L7" s="39"/>
      <c r="M7" s="39"/>
      <c r="N7" s="39"/>
      <c r="O7" s="39"/>
      <c r="P7" s="39"/>
      <c r="Q7" s="39"/>
      <c r="R7" s="39"/>
      <c r="S7" s="39"/>
      <c r="T7" s="39"/>
      <c r="U7" s="39"/>
      <c r="V7" s="39"/>
      <c r="W7" s="39"/>
      <c r="X7" s="39"/>
      <c r="Y7" s="39"/>
      <c r="Z7" s="39"/>
    </row>
    <row r="8">
      <c r="A8" s="14" t="s">
        <v>27</v>
      </c>
      <c r="B8" s="50" t="s">
        <v>95</v>
      </c>
      <c r="C8" s="50" t="s">
        <v>96</v>
      </c>
      <c r="D8" s="50" t="s">
        <v>97</v>
      </c>
      <c r="E8" s="50" t="s">
        <v>98</v>
      </c>
      <c r="F8" s="50" t="s">
        <v>99</v>
      </c>
      <c r="G8" s="17">
        <f>'SUS Scores'!N13</f>
        <v>76.25</v>
      </c>
      <c r="H8" s="39"/>
      <c r="I8" s="39"/>
      <c r="J8" s="39"/>
      <c r="K8" s="39"/>
      <c r="L8" s="39"/>
      <c r="M8" s="39"/>
      <c r="N8" s="39"/>
      <c r="O8" s="39"/>
      <c r="P8" s="39"/>
      <c r="Q8" s="39"/>
      <c r="R8" s="39"/>
      <c r="S8" s="39"/>
      <c r="T8" s="39"/>
      <c r="U8" s="39"/>
      <c r="V8" s="39"/>
      <c r="W8" s="39"/>
      <c r="X8" s="39"/>
      <c r="Y8" s="39"/>
      <c r="Z8" s="39"/>
    </row>
    <row r="9">
      <c r="A9" s="14" t="s">
        <v>28</v>
      </c>
      <c r="B9" s="50" t="s">
        <v>100</v>
      </c>
      <c r="C9" s="50" t="s">
        <v>101</v>
      </c>
      <c r="D9" s="50" t="s">
        <v>102</v>
      </c>
      <c r="E9" s="50" t="s">
        <v>103</v>
      </c>
      <c r="F9" s="50" t="s">
        <v>104</v>
      </c>
      <c r="G9" s="17">
        <f>'SUS Scores'!N14</f>
        <v>78.75</v>
      </c>
      <c r="H9" s="39"/>
      <c r="I9" s="39"/>
      <c r="J9" s="39"/>
      <c r="K9" s="39"/>
      <c r="L9" s="39"/>
      <c r="M9" s="39"/>
      <c r="N9" s="39"/>
      <c r="O9" s="39"/>
      <c r="P9" s="39"/>
      <c r="Q9" s="39"/>
      <c r="R9" s="39"/>
      <c r="S9" s="39"/>
      <c r="T9" s="39"/>
      <c r="U9" s="39"/>
      <c r="V9" s="39"/>
      <c r="W9" s="39"/>
      <c r="X9" s="39"/>
      <c r="Y9" s="39"/>
      <c r="Z9" s="39"/>
    </row>
    <row r="10">
      <c r="A10" s="14" t="s">
        <v>29</v>
      </c>
      <c r="B10" s="50" t="s">
        <v>105</v>
      </c>
      <c r="C10" s="50" t="s">
        <v>106</v>
      </c>
      <c r="D10" s="50" t="s">
        <v>107</v>
      </c>
      <c r="E10" s="50" t="s">
        <v>108</v>
      </c>
      <c r="F10" s="50" t="s">
        <v>109</v>
      </c>
      <c r="G10" s="17">
        <f>'SUS Scores'!N15</f>
        <v>67.5</v>
      </c>
      <c r="H10" s="39"/>
      <c r="I10" s="39"/>
      <c r="J10" s="39"/>
      <c r="K10" s="39"/>
      <c r="L10" s="39"/>
      <c r="M10" s="39"/>
      <c r="N10" s="39"/>
      <c r="O10" s="39"/>
      <c r="P10" s="39"/>
      <c r="Q10" s="39"/>
      <c r="R10" s="39"/>
      <c r="S10" s="39"/>
      <c r="T10" s="39"/>
      <c r="U10" s="39"/>
      <c r="V10" s="39"/>
      <c r="W10" s="39"/>
      <c r="X10" s="39"/>
      <c r="Y10" s="39"/>
      <c r="Z10" s="39"/>
    </row>
    <row r="11" ht="60.0" customHeight="1">
      <c r="A11" s="39"/>
      <c r="B11" s="39"/>
      <c r="C11" s="39"/>
      <c r="D11" s="39"/>
      <c r="E11" s="39"/>
      <c r="F11" s="39"/>
      <c r="G11" s="39"/>
      <c r="H11" s="39"/>
      <c r="I11" s="39"/>
      <c r="J11" s="39"/>
      <c r="K11" s="39"/>
      <c r="L11" s="39"/>
      <c r="M11" s="39"/>
      <c r="N11" s="39"/>
      <c r="O11" s="39"/>
      <c r="P11" s="39"/>
      <c r="Q11" s="39"/>
      <c r="R11" s="39"/>
      <c r="S11" s="39"/>
      <c r="T11" s="39"/>
      <c r="U11" s="39"/>
      <c r="V11" s="39"/>
      <c r="W11" s="39"/>
      <c r="X11" s="39"/>
      <c r="Y11" s="39"/>
      <c r="Z11" s="39"/>
    </row>
    <row r="12">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row>
    <row r="13">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row>
    <row r="14">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row>
    <row r="15">
      <c r="A15" s="39"/>
      <c r="B15" s="39"/>
      <c r="C15" s="39"/>
      <c r="D15" s="39"/>
      <c r="E15" s="39"/>
      <c r="F15" s="39"/>
      <c r="G15" s="39"/>
      <c r="H15" s="39"/>
      <c r="I15" s="39"/>
      <c r="J15" s="39"/>
      <c r="K15" s="39"/>
      <c r="L15" s="39"/>
      <c r="M15" s="39"/>
      <c r="N15" s="39"/>
      <c r="O15" s="39"/>
      <c r="P15" s="39"/>
      <c r="Q15" s="39"/>
      <c r="R15" s="39"/>
      <c r="S15" s="39"/>
      <c r="T15" s="39"/>
      <c r="U15" s="39"/>
      <c r="V15" s="39"/>
      <c r="W15" s="39"/>
      <c r="X15" s="39"/>
      <c r="Y15" s="39"/>
      <c r="Z15" s="39"/>
    </row>
    <row r="16">
      <c r="A16" s="39"/>
      <c r="B16" s="39"/>
      <c r="C16" s="39"/>
      <c r="D16" s="39"/>
      <c r="E16" s="39"/>
      <c r="F16" s="39"/>
      <c r="G16" s="39"/>
      <c r="H16" s="39"/>
      <c r="I16" s="39"/>
      <c r="J16" s="39"/>
      <c r="K16" s="39"/>
      <c r="L16" s="39"/>
      <c r="M16" s="39"/>
      <c r="N16" s="39"/>
      <c r="O16" s="39"/>
      <c r="P16" s="39"/>
      <c r="Q16" s="39"/>
      <c r="R16" s="39"/>
      <c r="S16" s="39"/>
      <c r="T16" s="39"/>
      <c r="U16" s="39"/>
      <c r="V16" s="39"/>
      <c r="W16" s="39"/>
      <c r="X16" s="39"/>
      <c r="Y16" s="39"/>
      <c r="Z16" s="39"/>
    </row>
    <row r="17">
      <c r="A17" s="39"/>
      <c r="B17" s="39"/>
      <c r="C17" s="39"/>
      <c r="D17" s="39"/>
      <c r="E17" s="39"/>
      <c r="F17" s="39"/>
      <c r="G17" s="39"/>
      <c r="H17" s="39"/>
      <c r="I17" s="39"/>
      <c r="J17" s="39"/>
      <c r="K17" s="39"/>
      <c r="L17" s="39"/>
      <c r="M17" s="39"/>
      <c r="N17" s="39"/>
      <c r="O17" s="39"/>
      <c r="P17" s="39"/>
      <c r="Q17" s="39"/>
      <c r="R17" s="39"/>
      <c r="S17" s="39"/>
      <c r="T17" s="39"/>
      <c r="U17" s="39"/>
      <c r="V17" s="39"/>
      <c r="W17" s="39"/>
      <c r="X17" s="39"/>
      <c r="Y17" s="39"/>
      <c r="Z17" s="39"/>
    </row>
    <row r="18">
      <c r="A18" s="39"/>
      <c r="B18" s="39"/>
      <c r="C18" s="39"/>
      <c r="D18" s="39"/>
      <c r="E18" s="39"/>
      <c r="F18" s="39"/>
      <c r="G18" s="39"/>
      <c r="H18" s="39"/>
      <c r="I18" s="39"/>
      <c r="J18" s="39"/>
      <c r="K18" s="39"/>
      <c r="L18" s="39"/>
      <c r="M18" s="39"/>
      <c r="N18" s="39"/>
      <c r="O18" s="39"/>
      <c r="P18" s="39"/>
      <c r="Q18" s="39"/>
      <c r="R18" s="39"/>
      <c r="S18" s="39"/>
      <c r="T18" s="39"/>
      <c r="U18" s="39"/>
      <c r="V18" s="39"/>
      <c r="W18" s="39"/>
      <c r="X18" s="39"/>
      <c r="Y18" s="39"/>
      <c r="Z18" s="39"/>
    </row>
    <row r="19">
      <c r="A19" s="39"/>
      <c r="B19" s="39"/>
      <c r="C19" s="39"/>
      <c r="D19" s="39"/>
      <c r="E19" s="39"/>
      <c r="F19" s="39"/>
      <c r="G19" s="39"/>
      <c r="H19" s="39"/>
      <c r="I19" s="39"/>
      <c r="J19" s="39"/>
      <c r="K19" s="39"/>
      <c r="L19" s="39"/>
      <c r="M19" s="39"/>
      <c r="N19" s="39"/>
      <c r="O19" s="39"/>
      <c r="P19" s="39"/>
      <c r="Q19" s="39"/>
      <c r="R19" s="39"/>
      <c r="S19" s="39"/>
      <c r="T19" s="39"/>
      <c r="U19" s="39"/>
      <c r="V19" s="39"/>
      <c r="W19" s="39"/>
      <c r="X19" s="39"/>
      <c r="Y19" s="39"/>
      <c r="Z19" s="39"/>
    </row>
    <row r="20">
      <c r="A20" s="39"/>
      <c r="B20" s="39"/>
      <c r="C20" s="39"/>
      <c r="D20" s="39"/>
      <c r="E20" s="39"/>
      <c r="F20" s="39"/>
      <c r="G20" s="39"/>
      <c r="H20" s="39"/>
      <c r="I20" s="39"/>
      <c r="J20" s="39"/>
      <c r="K20" s="39"/>
      <c r="L20" s="39"/>
      <c r="M20" s="39"/>
      <c r="N20" s="39"/>
      <c r="O20" s="39"/>
      <c r="P20" s="39"/>
      <c r="Q20" s="39"/>
      <c r="R20" s="39"/>
      <c r="S20" s="39"/>
      <c r="T20" s="39"/>
      <c r="U20" s="39"/>
      <c r="V20" s="39"/>
      <c r="W20" s="39"/>
      <c r="X20" s="39"/>
      <c r="Y20" s="39"/>
      <c r="Z20" s="39"/>
    </row>
    <row r="21" ht="15.75" customHeight="1">
      <c r="A21" s="39"/>
      <c r="B21" s="39"/>
      <c r="C21" s="39"/>
      <c r="D21" s="39"/>
      <c r="E21" s="39"/>
      <c r="F21" s="39"/>
      <c r="G21" s="39"/>
      <c r="H21" s="39"/>
      <c r="I21" s="39"/>
      <c r="J21" s="39"/>
      <c r="K21" s="39"/>
      <c r="L21" s="39"/>
      <c r="M21" s="39"/>
      <c r="N21" s="39"/>
      <c r="O21" s="39"/>
      <c r="P21" s="39"/>
      <c r="Q21" s="39"/>
      <c r="R21" s="39"/>
      <c r="S21" s="39"/>
      <c r="T21" s="39"/>
      <c r="U21" s="39"/>
      <c r="V21" s="39"/>
      <c r="W21" s="39"/>
      <c r="X21" s="39"/>
      <c r="Y21" s="39"/>
      <c r="Z21" s="39"/>
    </row>
    <row r="22" ht="15.75" customHeight="1">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row>
    <row r="23" ht="15.75" customHeight="1">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row>
    <row r="24" ht="15.75" customHeight="1">
      <c r="A24" s="39"/>
      <c r="B24" s="39"/>
      <c r="C24" s="39"/>
      <c r="D24" s="39"/>
      <c r="E24" s="39"/>
      <c r="F24" s="39"/>
      <c r="G24" s="39"/>
      <c r="H24" s="39"/>
      <c r="I24" s="39"/>
      <c r="J24" s="39"/>
      <c r="K24" s="39"/>
      <c r="L24" s="39"/>
      <c r="M24" s="39"/>
      <c r="N24" s="39"/>
      <c r="O24" s="39"/>
      <c r="P24" s="39"/>
      <c r="Q24" s="39"/>
      <c r="R24" s="39"/>
      <c r="S24" s="39"/>
      <c r="T24" s="39"/>
      <c r="U24" s="39"/>
      <c r="V24" s="39"/>
      <c r="W24" s="39"/>
      <c r="X24" s="39"/>
      <c r="Y24" s="39"/>
      <c r="Z24" s="39"/>
    </row>
    <row r="25" ht="15.75" customHeight="1">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row>
    <row r="26" ht="15.75" customHeight="1">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row>
    <row r="27" ht="15.75" customHeight="1">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row>
    <row r="28" ht="15.75" customHeight="1">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row>
    <row r="29" ht="15.75" customHeight="1">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row>
    <row r="30" ht="15.75" customHeight="1">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row>
    <row r="31" ht="15.75" customHeight="1">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row>
    <row r="32" ht="15.75" customHeight="1">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row>
    <row r="33" ht="15.75" customHeight="1">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row>
    <row r="34" ht="15.75" customHeight="1">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row>
    <row r="35" ht="15.75" customHeight="1">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row>
    <row r="36" ht="15.75" customHeight="1">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row>
    <row r="37" ht="15.75" customHeight="1">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row>
    <row r="38" ht="15.75" customHeight="1">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row>
    <row r="39" ht="15.75" customHeight="1">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row>
    <row r="40" ht="15.75" customHeight="1">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row>
    <row r="41" ht="15.75" customHeight="1">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row>
    <row r="42" ht="15.75" customHeight="1">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row>
    <row r="43" ht="15.75" customHeight="1">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row>
    <row r="44" ht="15.75" customHeight="1">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row>
    <row r="45" ht="15.75" customHeight="1">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ht="15.75" customHeight="1">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ht="15.75" customHeight="1">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ht="15.75" customHeight="1">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ht="15.75" customHeight="1">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ht="15.75" customHeight="1">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ht="15.75" customHeight="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ht="15.75" customHeight="1">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ht="15.75" customHeight="1">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ht="15.75" customHeight="1">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ht="15.75" customHeight="1">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ht="15.75" customHeight="1">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ht="15.75" customHeight="1">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ht="15.75" customHeight="1">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ht="15.75" customHeight="1">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ht="15.75" customHeight="1">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ht="15.75" customHeight="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ht="15.75" customHeight="1">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ht="15.75" customHeight="1">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ht="15.75" customHeight="1">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ht="15.75" customHeight="1">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ht="15.75" customHeight="1">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ht="15.75" customHeight="1">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ht="15.75" customHeight="1">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ht="15.75" customHeight="1">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ht="15.75" customHeight="1">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ht="15.75" customHeight="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ht="15.75" customHeight="1">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ht="15.75" customHeight="1">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ht="15.75" customHeight="1">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ht="15.75" customHeight="1">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ht="15.75" customHeight="1">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ht="15.75" customHeight="1">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ht="15.75" customHeight="1">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ht="15.75" customHeight="1">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ht="15.75" customHeight="1">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ht="15.75" customHeight="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ht="15.75" customHeight="1">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ht="15.75" customHeight="1">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ht="15.75" customHeight="1">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ht="15.75"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ht="15.75"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ht="15.75"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ht="15.75"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ht="15.75"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ht="15.75"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ht="15.75"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ht="15.75"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ht="15.75"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ht="15.7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ht="15.7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ht="15.7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ht="15.7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ht="15.75"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ht="15.7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ht="15.75"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ht="15.7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ht="15.7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ht="15.7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ht="15.7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ht="15.7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ht="15.7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ht="15.7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ht="15.7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ht="15.7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ht="15.7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ht="15.7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ht="15.7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ht="15.7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ht="15.7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ht="15.7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ht="15.7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ht="15.7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ht="15.7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ht="15.7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ht="15.7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ht="15.7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ht="15.7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ht="15.7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ht="15.7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ht="15.7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ht="15.7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ht="15.7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ht="15.7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ht="15.7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ht="15.7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ht="15.7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ht="15.7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ht="15.7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ht="15.7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ht="15.7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ht="15.7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ht="15.7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ht="15.7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ht="15.7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ht="15.7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ht="15.7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ht="15.7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ht="15.7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ht="15.7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ht="15.7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ht="15.7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ht="15.7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ht="15.7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ht="15.7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ht="15.7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ht="15.7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ht="15.7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ht="15.7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ht="15.7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ht="15.7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ht="15.7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ht="15.7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ht="15.7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ht="15.7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ht="15.7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ht="15.7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ht="15.7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ht="15.7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ht="15.7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ht="15.7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ht="15.7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ht="15.7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ht="15.7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ht="15.7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ht="15.7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ht="15.7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ht="15.7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ht="15.7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ht="15.7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ht="15.7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ht="15.7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ht="15.7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ht="15.7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ht="15.7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ht="15.7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ht="15.7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ht="15.7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ht="15.7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ht="15.7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ht="15.7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ht="15.7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ht="15.7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ht="15.7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ht="15.7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ht="15.7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ht="15.7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ht="15.7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ht="15.7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ht="15.7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ht="15.7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ht="15.7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ht="15.7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ht="15.7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ht="15.7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ht="15.7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ht="15.7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ht="15.7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ht="15.7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ht="15.7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ht="15.7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ht="15.7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ht="15.7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ht="15.7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ht="15.7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ht="15.7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ht="15.7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ht="15.7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ht="15.7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ht="15.7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ht="15.7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ht="15.7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ht="15.7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ht="15.7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ht="15.7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ht="15.7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ht="15.7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ht="15.7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ht="15.7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ht="15.7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ht="15.7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ht="15.7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ht="15.7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ht="15.7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ht="15.7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ht="15.7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ht="15.7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ht="15.7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ht="15.7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ht="15.7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ht="15.7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ht="15.7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ht="15.7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ht="15.7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ht="15.7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ht="15.7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ht="15.7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ht="15.7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ht="15.7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ht="15.7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ht="15.7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ht="15.7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ht="15.7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ht="15.7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ht="15.7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ht="15.7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ht="15.7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ht="15.7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ht="15.7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ht="15.7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ht="15.7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ht="15.7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ht="15.7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ht="15.7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ht="15.7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ht="15.7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ht="15.7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ht="15.7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ht="15.7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ht="15.7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ht="15.7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ht="15.7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ht="15.7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ht="15.7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ht="15.7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ht="15.7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ht="15.7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ht="15.7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ht="15.7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ht="15.7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ht="15.7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ht="15.7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ht="15.7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ht="15.7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ht="15.7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ht="15.7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ht="15.7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ht="15.7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ht="15.7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ht="15.7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ht="15.7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ht="15.7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ht="15.7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ht="15.7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ht="15.7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ht="15.7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ht="15.7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ht="15.7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ht="15.7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ht="15.7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ht="15.7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ht="15.7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ht="15.7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ht="15.7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ht="15.7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ht="15.7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ht="15.7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ht="15.7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ht="15.7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ht="15.7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ht="15.7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ht="15.7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ht="15.7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ht="15.7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ht="15.7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ht="15.7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ht="15.7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ht="15.7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ht="15.7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ht="15.7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ht="15.7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ht="15.7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ht="15.7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ht="15.7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ht="15.7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ht="15.7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ht="15.7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ht="15.7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ht="15.7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ht="15.7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ht="15.7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ht="15.7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ht="15.7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ht="15.7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ht="15.7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ht="15.7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ht="15.7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ht="15.7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ht="15.7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ht="15.7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ht="15.7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ht="15.7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ht="15.7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ht="15.7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ht="15.7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ht="15.7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ht="15.7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ht="15.7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ht="15.7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ht="15.7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ht="15.7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ht="15.7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ht="15.7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ht="15.7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ht="15.7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ht="15.7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ht="15.7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ht="15.7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ht="15.7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ht="15.7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ht="15.7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ht="15.7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ht="15.7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ht="15.7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ht="15.7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ht="15.7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ht="15.7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ht="15.7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ht="15.7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ht="15.7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ht="15.7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ht="15.7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ht="15.7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ht="15.7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ht="15.7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ht="15.7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ht="15.7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ht="15.7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ht="15.7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ht="15.7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ht="15.7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ht="15.7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ht="15.7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ht="15.7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ht="15.7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ht="15.7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ht="15.7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ht="15.7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ht="15.7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ht="15.7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ht="15.7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ht="15.7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ht="15.7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ht="15.7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ht="15.7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ht="15.7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ht="15.7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ht="15.7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ht="15.7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ht="15.7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ht="15.7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ht="15.7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ht="15.7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ht="15.7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ht="15.7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ht="15.7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ht="15.7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ht="15.7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ht="15.7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ht="15.7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ht="15.7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ht="15.7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ht="15.7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ht="15.7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ht="15.7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ht="15.7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ht="15.7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ht="15.7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ht="15.7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ht="15.7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ht="15.7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ht="15.7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ht="15.7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ht="15.7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ht="15.7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ht="15.7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ht="15.7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ht="15.7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ht="15.7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ht="15.7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ht="15.7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ht="15.7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ht="15.7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ht="15.7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ht="15.7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ht="15.7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ht="15.7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ht="15.7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ht="15.7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ht="15.7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ht="15.7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ht="15.7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ht="15.7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ht="15.7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ht="15.7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ht="15.7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ht="15.7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ht="15.7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ht="15.7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ht="15.7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ht="15.7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ht="15.7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ht="15.7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ht="15.7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ht="15.7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ht="15.7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ht="15.7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ht="15.7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ht="15.7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ht="15.7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ht="15.7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ht="15.7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ht="15.7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ht="15.7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ht="15.7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ht="15.7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ht="15.7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ht="15.7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ht="15.7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ht="15.7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ht="15.7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ht="15.7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ht="15.7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ht="15.7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ht="15.7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ht="15.7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ht="15.7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ht="15.7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ht="15.7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ht="15.7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ht="15.7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ht="15.7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ht="15.7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ht="15.7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ht="15.7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ht="15.7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ht="15.7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ht="15.7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ht="15.7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ht="15.7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ht="15.7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ht="15.7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ht="15.7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ht="15.7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ht="15.7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ht="15.7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ht="15.7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ht="15.7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ht="15.7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ht="15.7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ht="15.7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ht="15.7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ht="15.7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ht="15.7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ht="15.7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ht="15.7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ht="15.7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ht="15.7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ht="15.7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ht="15.7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ht="15.7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ht="15.7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ht="15.7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ht="15.7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ht="15.7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ht="15.7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ht="15.7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ht="15.7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ht="15.7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ht="15.7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ht="15.7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ht="15.7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ht="15.7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ht="15.7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ht="15.7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ht="15.7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ht="15.7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ht="15.7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ht="15.7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ht="15.7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ht="15.7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ht="15.7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ht="15.7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ht="15.7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ht="15.7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ht="15.7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ht="15.7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ht="15.7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ht="15.7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ht="15.7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ht="15.7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ht="15.7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ht="15.7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ht="15.7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ht="15.7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ht="15.7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ht="15.7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ht="15.7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ht="15.7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ht="15.7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ht="15.7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ht="15.7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ht="15.7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ht="15.7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ht="15.7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ht="15.7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ht="15.7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ht="15.7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ht="15.7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ht="15.7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ht="15.7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ht="15.7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ht="15.7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ht="15.7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ht="15.7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ht="15.7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ht="15.7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ht="15.7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ht="15.7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ht="15.7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ht="15.7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ht="15.7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ht="15.7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ht="15.7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ht="15.7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ht="15.7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ht="15.7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ht="15.7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ht="15.7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ht="15.7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ht="15.7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ht="15.7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ht="15.7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ht="15.7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ht="15.7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ht="15.7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ht="15.7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ht="15.7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ht="15.7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ht="15.7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ht="15.7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ht="15.7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ht="15.7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ht="15.7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ht="15.7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ht="15.7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ht="15.7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ht="15.7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ht="15.7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ht="15.7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ht="15.7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ht="15.7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ht="15.7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ht="15.7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ht="15.7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ht="15.7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ht="15.7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ht="15.7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ht="15.7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ht="15.7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ht="15.7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ht="15.7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ht="15.7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ht="15.7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ht="15.7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ht="15.7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ht="15.7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ht="15.7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ht="15.7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ht="15.7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ht="15.7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ht="15.7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ht="15.7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ht="15.7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ht="15.7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ht="15.7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ht="15.7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ht="15.7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ht="15.7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ht="15.7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ht="15.7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ht="15.7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ht="15.7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ht="15.7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ht="15.7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ht="15.7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ht="15.7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ht="15.7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ht="15.7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ht="15.7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ht="15.7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ht="15.7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ht="15.7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ht="15.7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ht="15.7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ht="15.7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ht="15.7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ht="15.7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ht="15.7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ht="15.7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ht="15.7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ht="15.7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ht="15.7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ht="15.7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ht="15.7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ht="15.7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ht="15.7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ht="15.7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ht="15.7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ht="15.7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ht="15.7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ht="15.7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ht="15.7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ht="15.7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ht="15.7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ht="15.7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ht="15.7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ht="15.7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ht="15.7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ht="15.7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ht="15.7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ht="15.7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ht="15.7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ht="15.7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ht="15.7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ht="15.7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ht="15.7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ht="15.7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ht="15.7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ht="15.7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ht="15.7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ht="15.7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ht="15.7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ht="15.7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ht="15.7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ht="15.7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ht="15.7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ht="15.7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ht="15.7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ht="15.7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ht="15.7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ht="15.7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ht="15.7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ht="15.7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ht="15.7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ht="15.7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ht="15.7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ht="15.7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ht="15.7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ht="15.7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ht="15.7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ht="15.7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ht="15.7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ht="15.7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ht="15.7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ht="15.7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ht="15.7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ht="15.7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ht="15.7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ht="15.7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ht="15.7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ht="15.7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ht="15.7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ht="15.7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ht="15.7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ht="15.7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ht="15.7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ht="15.7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ht="15.7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ht="15.7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ht="15.7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ht="15.7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ht="15.7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ht="15.7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ht="15.7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ht="15.7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ht="15.7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ht="15.7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ht="15.7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ht="15.7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ht="15.7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ht="15.7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ht="15.7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ht="15.7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ht="15.7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ht="15.7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ht="15.7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ht="15.7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ht="15.7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ht="15.7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ht="15.7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ht="15.7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ht="15.7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ht="15.7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ht="15.7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ht="15.7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ht="15.7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ht="15.7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ht="15.7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ht="15.7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ht="15.7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ht="15.7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ht="15.7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ht="15.7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ht="15.7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ht="15.7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ht="15.7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ht="15.7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ht="15.7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ht="15.7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ht="15.7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ht="15.7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ht="15.7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ht="15.7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ht="15.7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ht="15.7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ht="15.7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ht="15.7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ht="15.7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ht="15.7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ht="15.7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ht="15.7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ht="15.7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ht="15.7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ht="15.7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ht="15.7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ht="15.7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ht="15.7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ht="15.7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ht="15.7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ht="15.7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ht="15.7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ht="15.7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ht="15.7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ht="15.7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ht="15.7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ht="15.7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ht="15.7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ht="15.7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ht="15.7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ht="15.7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ht="15.7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ht="15.7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ht="15.7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ht="15.7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ht="15.7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ht="15.7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ht="15.7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ht="15.7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ht="15.7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ht="15.7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ht="15.7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ht="15.7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ht="15.7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ht="15.7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ht="15.7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ht="15.7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ht="15.7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ht="15.7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ht="15.7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ht="15.7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ht="15.7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ht="15.7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ht="15.7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ht="15.7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ht="15.7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ht="15.7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ht="15.7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ht="15.7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ht="15.7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ht="15.7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ht="15.7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ht="15.7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ht="15.7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ht="15.7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ht="15.7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ht="15.7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ht="15.7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ht="15.7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ht="15.7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ht="15.7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ht="15.7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ht="15.7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ht="15.7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ht="15.7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ht="15.7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ht="15.7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ht="15.7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ht="15.7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ht="15.7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ht="15.7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ht="15.7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ht="15.7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ht="15.7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ht="15.7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ht="15.7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ht="15.7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ht="15.7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ht="15.7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ht="15.7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ht="15.7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ht="15.7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ht="15.7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ht="15.7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ht="15.7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ht="15.7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ht="15.7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ht="15.7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ht="15.7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ht="15.7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ht="15.7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ht="15.7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ht="15.7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ht="15.7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ht="15.7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ht="15.7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ht="15.7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ht="15.7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ht="15.7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ht="15.7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ht="15.7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ht="15.7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ht="15.7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ht="15.7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ht="15.7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ht="15.7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ht="15.7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ht="15.7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ht="15.7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ht="15.7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ht="15.7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ht="15.7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ht="15.7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ht="15.7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ht="15.7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ht="15.7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ht="15.7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ht="15.7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ht="15.7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ht="15.7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ht="15.7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ht="15.7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ht="15.7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ht="15.7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ht="15.7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ht="15.7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ht="15.7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ht="15.7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ht="15.7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ht="15.7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ht="15.7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ht="15.7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ht="15.7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ht="15.7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ht="15.7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ht="15.7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ht="15.7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ht="15.7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ht="15.7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ht="15.7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ht="15.7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ht="15.7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ht="15.7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ht="15.7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ht="15.7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ht="15.7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ht="15.7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ht="15.7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ht="15.7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ht="15.7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ht="15.7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ht="15.7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ht="15.7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ht="15.7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ht="15.7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ht="15.7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ht="15.7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ht="15.7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ht="15.7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ht="15.7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ht="15.7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ht="15.7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ht="15.7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ht="15.7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ht="15.7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ht="15.7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ht="15.7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ht="15.7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ht="15.7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ht="15.7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ht="15.7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ht="15.7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ht="15.7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ht="15.7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ht="15.7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ht="15.7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ht="15.7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ht="15.7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ht="15.7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ht="15.7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ht="15.7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ht="15.7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ht="15.7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ht="15.7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ht="15.7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ht="15.7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ht="15.7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ht="15.7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ht="15.7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ht="15.7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ht="15.7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ht="15.7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ht="15.7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ht="15.7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ht="15.7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ht="15.7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ht="15.7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ht="15.7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ht="15.7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ht="15.7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ht="15.7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ht="15.7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ht="15.7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ht="15.7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ht="15.7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ht="15.7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ht="15.7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ht="15.7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ht="15.7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ht="15.7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ht="15.7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ht="15.7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ht="15.7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ht="15.7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ht="15.7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ht="15.7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ht="15.7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ht="15.7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ht="15.7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ht="15.7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ht="15.7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ht="15.7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ht="15.7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ht="15.7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ht="15.7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ht="15.7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ht="15.7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ht="15.7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ht="15.7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ht="15.7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ht="15.7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ht="15.7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ht="15.7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ht="15.7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ht="15.7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ht="15.75"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sheetData>
  <mergeCells count="1">
    <mergeCell ref="A1:G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14"/>
    <col customWidth="1" min="2" max="2" width="32.0"/>
    <col customWidth="1" min="3" max="3" width="31.71"/>
    <col customWidth="1" min="4" max="4" width="31.86"/>
    <col customWidth="1" min="5" max="5" width="32.0"/>
    <col customWidth="1" min="6" max="6" width="35.14"/>
    <col customWidth="1" min="7" max="26" width="8.71"/>
  </cols>
  <sheetData>
    <row r="1">
      <c r="A1" s="5" t="s">
        <v>110</v>
      </c>
      <c r="B1" s="6"/>
      <c r="C1" s="6"/>
      <c r="D1" s="6"/>
      <c r="E1" s="6"/>
      <c r="F1" s="7"/>
    </row>
    <row r="2">
      <c r="A2" s="33" t="s">
        <v>111</v>
      </c>
      <c r="B2" s="6"/>
      <c r="C2" s="6"/>
      <c r="D2" s="6"/>
      <c r="E2" s="6"/>
      <c r="F2" s="7"/>
    </row>
    <row r="3">
      <c r="A3" s="52" t="s">
        <v>112</v>
      </c>
      <c r="B3" s="53" t="s">
        <v>113</v>
      </c>
      <c r="C3" s="54" t="s">
        <v>114</v>
      </c>
      <c r="D3" s="37" t="s">
        <v>115</v>
      </c>
      <c r="E3" s="35" t="s">
        <v>116</v>
      </c>
      <c r="F3" s="39"/>
    </row>
    <row r="4">
      <c r="A4" s="55"/>
      <c r="B4" s="56" t="s">
        <v>117</v>
      </c>
      <c r="C4" s="57" t="s">
        <v>118</v>
      </c>
      <c r="D4" s="58" t="s">
        <v>119</v>
      </c>
      <c r="E4" s="59" t="s">
        <v>120</v>
      </c>
      <c r="F4" s="39"/>
    </row>
    <row r="5">
      <c r="A5" s="60"/>
      <c r="B5" s="6"/>
      <c r="C5" s="6"/>
      <c r="D5" s="6"/>
      <c r="E5" s="6"/>
      <c r="F5" s="7"/>
    </row>
    <row r="6">
      <c r="A6" s="9" t="s">
        <v>3</v>
      </c>
      <c r="B6" s="61" t="s">
        <v>121</v>
      </c>
      <c r="C6" s="62" t="s">
        <v>122</v>
      </c>
      <c r="D6" s="63" t="s">
        <v>123</v>
      </c>
      <c r="E6" s="64" t="s">
        <v>124</v>
      </c>
      <c r="F6" s="9" t="s">
        <v>125</v>
      </c>
    </row>
    <row r="7">
      <c r="A7" s="65" t="s">
        <v>21</v>
      </c>
      <c r="B7" s="66" t="s">
        <v>126</v>
      </c>
      <c r="C7" s="66" t="s">
        <v>127</v>
      </c>
      <c r="D7" s="66" t="s">
        <v>128</v>
      </c>
      <c r="E7" s="66" t="s">
        <v>129</v>
      </c>
      <c r="F7" s="67" t="s">
        <v>130</v>
      </c>
    </row>
    <row r="8">
      <c r="A8" s="65" t="s">
        <v>23</v>
      </c>
      <c r="B8" s="66" t="s">
        <v>131</v>
      </c>
      <c r="C8" s="66" t="s">
        <v>132</v>
      </c>
      <c r="D8" s="66" t="s">
        <v>133</v>
      </c>
      <c r="E8" s="66" t="s">
        <v>134</v>
      </c>
      <c r="F8" s="67" t="s">
        <v>135</v>
      </c>
    </row>
    <row r="9">
      <c r="A9" s="65" t="s">
        <v>24</v>
      </c>
      <c r="B9" s="66" t="s">
        <v>136</v>
      </c>
      <c r="C9" s="66" t="s">
        <v>137</v>
      </c>
      <c r="D9" s="66" t="s">
        <v>138</v>
      </c>
      <c r="E9" s="66" t="s">
        <v>139</v>
      </c>
      <c r="F9" s="66" t="s">
        <v>140</v>
      </c>
    </row>
    <row r="10">
      <c r="A10" s="65" t="s">
        <v>26</v>
      </c>
      <c r="B10" s="66" t="s">
        <v>141</v>
      </c>
      <c r="C10" s="66" t="s">
        <v>142</v>
      </c>
      <c r="D10" s="66" t="s">
        <v>143</v>
      </c>
      <c r="E10" s="66" t="s">
        <v>144</v>
      </c>
      <c r="F10" s="67" t="s">
        <v>145</v>
      </c>
    </row>
    <row r="11">
      <c r="A11" s="65" t="s">
        <v>27</v>
      </c>
      <c r="B11" s="66" t="s">
        <v>146</v>
      </c>
      <c r="C11" s="66" t="s">
        <v>147</v>
      </c>
      <c r="D11" s="66" t="s">
        <v>148</v>
      </c>
      <c r="E11" s="66" t="s">
        <v>149</v>
      </c>
      <c r="F11" s="67" t="s">
        <v>150</v>
      </c>
    </row>
    <row r="12">
      <c r="A12" s="65" t="s">
        <v>28</v>
      </c>
      <c r="B12" s="66" t="s">
        <v>151</v>
      </c>
      <c r="C12" s="66" t="s">
        <v>152</v>
      </c>
      <c r="D12" s="66" t="s">
        <v>153</v>
      </c>
      <c r="E12" s="66" t="s">
        <v>154</v>
      </c>
      <c r="F12" s="66" t="s">
        <v>155</v>
      </c>
    </row>
    <row r="13">
      <c r="A13" s="65" t="s">
        <v>29</v>
      </c>
      <c r="B13" s="66" t="s">
        <v>156</v>
      </c>
      <c r="C13" s="66" t="s">
        <v>157</v>
      </c>
      <c r="D13" s="66" t="s">
        <v>158</v>
      </c>
      <c r="E13" s="66" t="s">
        <v>159</v>
      </c>
      <c r="F13" s="66" t="s">
        <v>160</v>
      </c>
    </row>
    <row r="14">
      <c r="A14" s="68" t="s">
        <v>161</v>
      </c>
      <c r="B14" s="6"/>
      <c r="C14" s="6"/>
      <c r="D14" s="6"/>
      <c r="E14" s="6"/>
      <c r="F14" s="7"/>
    </row>
    <row r="15">
      <c r="A15" s="69"/>
      <c r="B15" s="69" t="s">
        <v>162</v>
      </c>
      <c r="C15" s="69" t="s">
        <v>163</v>
      </c>
      <c r="D15" s="69" t="s">
        <v>164</v>
      </c>
      <c r="E15" s="69" t="s">
        <v>165</v>
      </c>
      <c r="F15" s="69" t="s">
        <v>166</v>
      </c>
    </row>
    <row r="16">
      <c r="A16" s="70" t="s">
        <v>167</v>
      </c>
      <c r="B16" s="71" t="s">
        <v>168</v>
      </c>
      <c r="C16" s="71" t="s">
        <v>169</v>
      </c>
      <c r="D16" s="71" t="s">
        <v>170</v>
      </c>
      <c r="E16" s="71" t="s">
        <v>171</v>
      </c>
      <c r="F16" s="71" t="s">
        <v>172</v>
      </c>
      <c r="G16" s="72"/>
      <c r="H16" s="72"/>
      <c r="I16" s="72"/>
      <c r="J16" s="72"/>
      <c r="K16" s="72"/>
      <c r="L16" s="72"/>
      <c r="M16" s="72"/>
      <c r="N16" s="72"/>
      <c r="O16" s="72"/>
      <c r="P16" s="72"/>
      <c r="Q16" s="72"/>
      <c r="R16" s="72"/>
      <c r="S16" s="72"/>
      <c r="T16" s="72"/>
      <c r="U16" s="72"/>
      <c r="V16" s="72"/>
      <c r="W16" s="72"/>
      <c r="X16" s="72"/>
      <c r="Y16" s="72"/>
      <c r="Z16" s="72"/>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5">
    <mergeCell ref="A1:F1"/>
    <mergeCell ref="A2:F2"/>
    <mergeCell ref="A3:A4"/>
    <mergeCell ref="A5:F5"/>
    <mergeCell ref="A14:F14"/>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2026-04-14T11:05:16Z</dcterms:created>
  <dc:creator>openpyxl</dc:creator>
</cp:coreProperties>
</file>